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o01imj\Desktop\"/>
    </mc:Choice>
  </mc:AlternateContent>
  <xr:revisionPtr revIDLastSave="0" documentId="13_ncr:1_{28DA9130-09FF-4897-BAC0-2547C085CA5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83" i="12"/>
  <c r="C82" i="12"/>
  <c r="C81" i="12"/>
  <c r="C95" i="12"/>
  <c r="C94" i="12"/>
  <c r="C93" i="12"/>
  <c r="B84" i="12"/>
  <c r="B96" i="12"/>
  <c r="C65" i="12"/>
  <c r="C64" i="12"/>
  <c r="C12" i="12"/>
  <c r="C24" i="12"/>
  <c r="C36" i="12"/>
  <c r="C48" i="12"/>
  <c r="C60" i="12"/>
  <c r="C78" i="12"/>
  <c r="C79" i="12"/>
  <c r="C80" i="12"/>
  <c r="C76" i="12"/>
  <c r="C77" i="12"/>
  <c r="C90" i="12"/>
  <c r="C92" i="12"/>
  <c r="C89" i="12"/>
  <c r="C88" i="12"/>
  <c r="C84" i="12"/>
  <c r="C96" i="12"/>
  <c r="C72" i="12"/>
  <c r="C6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76" i="1"/>
  <c r="D51" i="1"/>
  <c r="D53" i="1"/>
  <c r="D43" i="1"/>
  <c r="D27" i="1"/>
  <c r="D64" i="1"/>
  <c r="D38" i="1"/>
  <c r="D56" i="1"/>
  <c r="D33" i="1"/>
  <c r="D49" i="1"/>
  <c r="D58" i="1"/>
  <c r="D77" i="1"/>
  <c r="D37" i="1"/>
  <c r="D21" i="1"/>
  <c r="D52" i="1"/>
  <c r="D35" i="1"/>
  <c r="C11" i="15"/>
  <c r="D19" i="1"/>
  <c r="D70" i="1"/>
  <c r="D80" i="1"/>
  <c r="D17" i="1"/>
  <c r="D89" i="1"/>
  <c r="D62" i="1"/>
  <c r="D36" i="1"/>
  <c r="D60" i="1"/>
  <c r="D48" i="1"/>
  <c r="D16" i="1"/>
  <c r="D25" i="1"/>
  <c r="D87" i="1"/>
  <c r="D23" i="1"/>
  <c r="D88" i="1"/>
  <c r="D93" i="1"/>
  <c r="D57" i="1"/>
  <c r="D54" i="1"/>
  <c r="D71" i="1"/>
  <c r="D59" i="1"/>
  <c r="D92" i="1"/>
  <c r="D73" i="1"/>
  <c r="D66" i="1"/>
  <c r="D94" i="1"/>
  <c r="D24" i="1"/>
  <c r="D86" i="1"/>
  <c r="D84" i="1"/>
  <c r="D72" i="1"/>
  <c r="D67" i="1"/>
  <c r="D31" i="1"/>
  <c r="D81" i="1"/>
  <c r="D61" i="1"/>
  <c r="C11" i="16"/>
  <c r="D68" i="1"/>
  <c r="D50" i="1"/>
  <c r="D40" i="1"/>
  <c r="D39" i="1"/>
  <c r="D26" i="1"/>
  <c r="D18" i="1"/>
  <c r="D34" i="1"/>
  <c r="D30" i="1"/>
  <c r="D20" i="1"/>
  <c r="D28" i="1"/>
  <c r="D44" i="1"/>
  <c r="D78" i="1"/>
  <c r="D74" i="1"/>
  <c r="D85" i="1"/>
  <c r="D29" i="1"/>
  <c r="D41" i="1"/>
  <c r="D75" i="1"/>
  <c r="D32" i="1"/>
  <c r="D45" i="1"/>
  <c r="D46" i="1"/>
  <c r="D22" i="1"/>
  <c r="D91" i="1"/>
  <c r="D15" i="1"/>
  <c r="D65" i="1"/>
  <c r="D47" i="1"/>
  <c r="D63" i="1"/>
  <c r="D79" i="1"/>
  <c r="D69" i="1"/>
  <c r="D82" i="1"/>
  <c r="D55" i="1"/>
  <c r="D83" i="1"/>
  <c r="D90" i="1"/>
  <c r="D42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<sst xmlns="http://schemas.openxmlformats.org/spreadsheetml/2006/main" count="257" uniqueCount="72">
  <si>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</si>
  <si>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</si>
  <si>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</si>
  <si>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</si>
  <si>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</si>
  <si>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</si>
  <si>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</si>
  <si>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</si>
  <si>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</si>
  <si>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</si>
  <si>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</si>
  <si>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</si>
  <si>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</si>
  <si>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</si>
  <si>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</si>
  <si>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</si>
  <si>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</si>
  <si>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</si>
  <si>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</si>
  <si>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</si>
  <si>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</si>
  <si>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</si>
  <si>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</si>
  <si>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</si>
  <si>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</si>
  <si>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</si>
  <si>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</si>
  <si>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</si>
  <si>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</si>
  <si>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</si>
  <si>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</si>
  <si>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</si>
  <si>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</si>
  <si>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</si>
  <si>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</si>
  <si>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</si>
  <si>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</si>
  <si>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</si>
  <si>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</si>
  <si>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</si>
  <si>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</si>
  <si>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</si>
  <si>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</si>
  <si>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</si>
  <si>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</si>
  <si>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</si>
  <si>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</si>
  <si>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</si>
  <si>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</si>
  <si>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Apprendre</t>
  </si>
  <si>
    <t>Reflection logique</t>
  </si>
  <si>
    <t>Code</t>
  </si>
  <si>
    <t>7h45min</t>
  </si>
  <si>
    <t>+ 7h45min</t>
  </si>
  <si>
    <t>Introduction au projet par Xcarrel</t>
  </si>
  <si>
    <t>Recherche d'un "Data set", j'ai trouver un data set Bilan suisse de l'électricité - valeurs mensuelles, en GWh depuis 1990</t>
  </si>
  <si>
    <t>https://www.bfe.admin.ch/bfe/en/home/supply/statistics-and-geodata/energy-statistics/electricity-statistics.html/#kw-96086</t>
  </si>
  <si>
    <t>Création du repo Git, du projet ice scrum, ainsi que la première User Story. Invitation du prof sur le repo github, ainsi que le projet icescrum.</t>
  </si>
  <si>
    <t>[1]https://github.com/ethanschafstall/P_FUN_323
[2] https://etml.icescrum.com/p/PFUN</t>
  </si>
  <si>
    <t>Remplir JDT</t>
  </si>
  <si>
    <t>Creation/Gestion du projet sur ice scrum, avec l'ajout de plusieurs user stories, features, tests, et tâches.</t>
  </si>
  <si>
    <t>Preparation/ install du framework ASP.NET comme util pour le projet</t>
  </si>
  <si>
    <t>Creation de class/method pour la conversion de donnes excels a type DataTable</t>
  </si>
  <si>
    <t>Apprentisage de ASP.NET</t>
  </si>
  <si>
    <t>Codage en ASP.NET des views, controlleurs, et tools</t>
  </si>
  <si>
    <t>Absense 3eme et 3eme periode du a la cerémonie des prix.</t>
  </si>
  <si>
    <t>Créer nouvelle jnlTrav</t>
  </si>
  <si>
    <t>https://learn.microsoft.com/en-us/aspnet/core/?view=aspnetcore-8.0
https://dotnet.microsoft.com/en-us/apps/aspnet/mvc</t>
  </si>
  <si>
    <t>Schafstall Ethan</t>
  </si>
  <si>
    <t>30.08.2024 au 01.11.2024</t>
  </si>
  <si>
    <t>P_FUN_323</t>
  </si>
  <si>
    <t>Explication sur le nommage des commits github fais par Xcarrel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</si>
</sst>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0" fillId="0" borderId="0" xfId="0" applyAlignment="1">
      <alignment wrapText="1"/>
    </xf>
    <xf numFmtId="0" fontId="0" fillId="0" borderId="0" xfId="0"/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bfe.admin.ch/bfe/en/home/supply/statistics-and-geodata/energy-statistics/electricity-statistics.html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6" t="s">
        <v>35</v>
      </c>
      <c r="C35" s="156"/>
      <c r="D35" s="156"/>
      <c r="E35" s="91" t="s">
        <v>44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57" t="s">
        <v>36</v>
      </c>
      <c r="C37" s="157"/>
      <c r="D37" s="157"/>
      <c r="E37" s="93" t="s">
        <v>52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31</v>
      </c>
      <c r="E39" s="155" t="s">
        <v>53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zoomScale="70" zoomScaleNormal="70" zoomScaleSheetLayoutView="43" workbookViewId="0">
      <selection activeCell="GJ13" sqref="GJ13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60" t="s">
        <v>32</v>
      </c>
      <c r="D1" s="160"/>
      <c r="E1" s="16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70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61"/>
      <c r="D7" s="161"/>
      <c r="E7" s="16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19</v>
      </c>
      <c r="D9" s="124"/>
      <c r="E9" s="10" t="s">
        <v>23</v>
      </c>
      <c r="F9" s="11"/>
      <c r="G9" s="172" t="str">
        <f>E96</f>
        <v>0h</v>
      </c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03"/>
      <c r="W9" s="171" t="s">
        <v>24</v>
      </c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2" t="str">
        <f>E98</f>
        <v>7h45min</v>
      </c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4"/>
      <c r="BO10" s="174"/>
      <c r="BP10" s="174"/>
      <c r="BQ10" s="174"/>
      <c r="BR10" s="174"/>
      <c r="BS10" s="174"/>
      <c r="BT10" s="174"/>
      <c r="BU10" s="174"/>
      <c r="BV10" s="174"/>
      <c r="BW10" s="174"/>
      <c r="BX10" s="174"/>
      <c r="BY10" s="174"/>
      <c r="BZ10" s="174"/>
      <c r="CA10" s="174"/>
      <c r="CB10" s="174"/>
      <c r="CC10" s="174"/>
      <c r="CD10" s="174"/>
      <c r="CE10" s="174"/>
      <c r="CF10" s="174"/>
      <c r="CG10" s="174"/>
      <c r="CH10" s="174"/>
      <c r="CI10" s="174"/>
      <c r="CJ10" s="174"/>
      <c r="CK10" s="174"/>
      <c r="CL10" s="174"/>
      <c r="CM10" s="174"/>
      <c r="CN10" s="174"/>
      <c r="CO10" s="174"/>
      <c r="CP10" s="174"/>
      <c r="CQ10" s="77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3"/>
      <c r="DK10" s="173"/>
      <c r="DL10" s="173"/>
      <c r="DM10" s="173"/>
      <c r="DN10" s="173"/>
      <c r="DO10" s="173"/>
      <c r="DP10" s="173"/>
      <c r="DQ10" s="173"/>
      <c r="DR10" s="173"/>
      <c r="DS10" s="173"/>
      <c r="DT10" s="173"/>
      <c r="DU10" s="173"/>
      <c r="DV10" s="173"/>
      <c r="DW10" s="173"/>
      <c r="DX10" s="173"/>
      <c r="DY10" s="173"/>
      <c r="DZ10" s="173"/>
      <c r="EA10" s="173"/>
      <c r="EB10" s="173"/>
      <c r="EC10" s="173"/>
      <c r="ED10" s="173"/>
      <c r="EE10" s="173"/>
      <c r="EF10" s="173"/>
      <c r="EG10" s="173"/>
      <c r="EH10" s="173"/>
      <c r="EI10" s="173"/>
      <c r="EJ10" s="173"/>
      <c r="EK10" s="173"/>
      <c r="EL10" s="173"/>
      <c r="EM10" s="173"/>
      <c r="EN10" s="173"/>
      <c r="EO10" s="173"/>
      <c r="EP10" s="173"/>
      <c r="EQ10" s="173"/>
      <c r="ER10" s="173"/>
      <c r="ES10" s="173"/>
      <c r="ET10" s="173"/>
      <c r="EU10" s="173"/>
      <c r="EV10" s="173"/>
      <c r="EW10" s="173"/>
      <c r="EX10" s="173"/>
      <c r="EY10" s="173"/>
      <c r="EZ10" s="173"/>
      <c r="FA10" s="173"/>
      <c r="FB10" s="173"/>
      <c r="FC10" s="173"/>
      <c r="FD10" s="173"/>
      <c r="FE10" s="173"/>
      <c r="FF10" s="173"/>
      <c r="FG10" s="173"/>
      <c r="FH10" s="173"/>
      <c r="FI10" s="173"/>
      <c r="FJ10" s="173"/>
      <c r="FK10" s="173"/>
      <c r="FL10" s="173"/>
      <c r="FM10" s="173"/>
      <c r="FN10" s="173"/>
      <c r="FO10" s="173"/>
      <c r="FP10" s="173"/>
      <c r="FQ10" s="173"/>
      <c r="FR10" s="173"/>
      <c r="FS10" s="173"/>
      <c r="FT10" s="173"/>
      <c r="FU10" s="173"/>
      <c r="FV10" s="173"/>
      <c r="FW10" s="173"/>
      <c r="FX10" s="173"/>
      <c r="FY10" s="173"/>
      <c r="FZ10" s="173"/>
      <c r="GA10" s="173"/>
      <c r="GB10" s="173"/>
      <c r="GC10" s="173"/>
      <c r="GD10" s="75"/>
    </row>
    <row r="11" spans="1:186" ht="20.100000000000001" customHeight="1" x14ac:dyDescent="0.25">
      <c r="B11" s="53"/>
      <c r="C11" s="158"/>
      <c r="D11" s="158"/>
      <c r="E11" s="158"/>
      <c r="F11" s="170" t="s">
        <v>45</v>
      </c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 t="s">
        <v>45</v>
      </c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0"/>
      <c r="CH11" s="170"/>
      <c r="CI11" s="170"/>
      <c r="CJ11" s="170"/>
      <c r="CK11" s="170"/>
      <c r="CL11" s="170"/>
      <c r="CM11" s="170"/>
      <c r="CN11" s="170"/>
      <c r="CO11" s="170"/>
      <c r="CP11" s="170"/>
      <c r="CQ11" s="170"/>
      <c r="CR11" s="170"/>
      <c r="CS11" s="170"/>
      <c r="CT11" s="170"/>
      <c r="CU11" s="170"/>
      <c r="CV11" s="170"/>
      <c r="CW11" s="170"/>
      <c r="CX11" s="170"/>
      <c r="CY11" s="170"/>
      <c r="CZ11" s="170"/>
      <c r="DA11" s="170"/>
      <c r="DB11" s="170"/>
      <c r="DC11" s="170"/>
      <c r="DD11" s="170"/>
      <c r="DE11" s="170"/>
      <c r="DF11" s="170"/>
      <c r="DG11" s="170"/>
      <c r="DH11" s="170"/>
      <c r="DI11" s="170"/>
      <c r="DJ11" s="170"/>
      <c r="DK11" s="170"/>
      <c r="DL11" s="170"/>
      <c r="DM11" s="170"/>
      <c r="DN11" s="170"/>
      <c r="DO11" s="170"/>
      <c r="DP11" s="170"/>
      <c r="DQ11" s="170"/>
      <c r="DR11" s="170"/>
      <c r="DS11" s="170"/>
      <c r="DT11" s="170"/>
      <c r="DU11" s="170"/>
      <c r="DV11" s="175" t="s">
        <v>45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75"/>
    </row>
    <row r="12" spans="1:186" ht="15.75" customHeight="1" thickBot="1" x14ac:dyDescent="0.3">
      <c r="B12" s="81"/>
      <c r="C12" s="159"/>
      <c r="D12" s="159"/>
      <c r="E12" s="159"/>
      <c r="F12" s="169" t="s">
        <v>46</v>
      </c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169"/>
      <c r="AM12" s="169"/>
      <c r="AN12" s="169"/>
      <c r="AO12" s="169"/>
      <c r="AP12" s="169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69"/>
      <c r="BE12" s="169"/>
      <c r="BF12" s="169"/>
      <c r="BG12" s="169"/>
      <c r="BH12" s="169"/>
      <c r="BI12" s="169"/>
      <c r="BJ12" s="169"/>
      <c r="BK12" s="169"/>
      <c r="BL12" s="169"/>
      <c r="BM12" s="169"/>
      <c r="BN12" s="169" t="s">
        <v>46</v>
      </c>
      <c r="BO12" s="169"/>
      <c r="BP12" s="169"/>
      <c r="BQ12" s="169"/>
      <c r="BR12" s="169"/>
      <c r="BS12" s="169"/>
      <c r="BT12" s="169"/>
      <c r="BU12" s="169"/>
      <c r="BV12" s="169"/>
      <c r="BW12" s="169"/>
      <c r="BX12" s="169"/>
      <c r="BY12" s="169"/>
      <c r="BZ12" s="169"/>
      <c r="CA12" s="169"/>
      <c r="CB12" s="169"/>
      <c r="CC12" s="169"/>
      <c r="CD12" s="169"/>
      <c r="CE12" s="169"/>
      <c r="CF12" s="169"/>
      <c r="CG12" s="169"/>
      <c r="CH12" s="169"/>
      <c r="CI12" s="169"/>
      <c r="CJ12" s="169"/>
      <c r="CK12" s="169"/>
      <c r="CL12" s="169"/>
      <c r="CM12" s="169"/>
      <c r="CN12" s="169"/>
      <c r="CO12" s="169"/>
      <c r="CP12" s="169"/>
      <c r="CQ12" s="169"/>
      <c r="CR12" s="169"/>
      <c r="CS12" s="169"/>
      <c r="CT12" s="169"/>
      <c r="CU12" s="169"/>
      <c r="CV12" s="169"/>
      <c r="CW12" s="169"/>
      <c r="CX12" s="169"/>
      <c r="CY12" s="169"/>
      <c r="CZ12" s="169"/>
      <c r="DA12" s="169"/>
      <c r="DB12" s="169"/>
      <c r="DC12" s="169"/>
      <c r="DD12" s="169"/>
      <c r="DE12" s="169"/>
      <c r="DF12" s="169"/>
      <c r="DG12" s="169"/>
      <c r="DH12" s="169"/>
      <c r="DI12" s="169"/>
      <c r="DJ12" s="169"/>
      <c r="DK12" s="169"/>
      <c r="DL12" s="169"/>
      <c r="DM12" s="169"/>
      <c r="DN12" s="169"/>
      <c r="DO12" s="169"/>
      <c r="DP12" s="169"/>
      <c r="DQ12" s="169"/>
      <c r="DR12" s="169"/>
      <c r="DS12" s="169"/>
      <c r="DT12" s="169"/>
      <c r="DU12" s="169"/>
      <c r="DV12" s="176" t="s">
        <v>46</v>
      </c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75"/>
    </row>
    <row r="13" spans="1:186" ht="42.75" customHeight="1" thickBot="1" x14ac:dyDescent="0.3">
      <c r="B13" s="53"/>
      <c r="C13" s="165" t="s">
        <v>7</v>
      </c>
      <c r="D13" s="127"/>
      <c r="E13" s="167" t="s">
        <v>42</v>
      </c>
      <c r="F13" s="177" t="s">
        <v>8</v>
      </c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9"/>
      <c r="BN13" s="177" t="s">
        <v>29</v>
      </c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9"/>
      <c r="DV13" s="177" t="s">
        <v>20</v>
      </c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9"/>
      <c r="GD13" s="75"/>
    </row>
    <row r="14" spans="1:186" ht="12.75" customHeight="1" thickBot="1" x14ac:dyDescent="0.35">
      <c r="B14" s="53"/>
      <c r="C14" s="166"/>
      <c r="D14" s="128"/>
      <c r="E14" s="168"/>
      <c r="F14" s="87"/>
      <c r="G14" s="88"/>
      <c r="H14" s="88"/>
      <c r="I14" s="88"/>
      <c r="J14" s="180" t="s">
        <v>37</v>
      </c>
      <c r="K14" s="180"/>
      <c r="L14" s="180"/>
      <c r="M14" s="180"/>
      <c r="N14" s="88"/>
      <c r="O14" s="88"/>
      <c r="P14" s="181" t="s">
        <v>25</v>
      </c>
      <c r="Q14" s="181"/>
      <c r="R14" s="181"/>
      <c r="S14" s="181"/>
      <c r="T14" s="112"/>
      <c r="U14" s="112"/>
      <c r="V14" s="180" t="s">
        <v>38</v>
      </c>
      <c r="W14" s="180"/>
      <c r="X14" s="180"/>
      <c r="Y14" s="180"/>
      <c r="Z14" s="88"/>
      <c r="AA14" s="88"/>
      <c r="AB14" s="181" t="s">
        <v>26</v>
      </c>
      <c r="AC14" s="181"/>
      <c r="AD14" s="181"/>
      <c r="AE14" s="181"/>
      <c r="AF14" s="112"/>
      <c r="AG14" s="112"/>
      <c r="AH14" s="180" t="s">
        <v>39</v>
      </c>
      <c r="AI14" s="180"/>
      <c r="AJ14" s="180"/>
      <c r="AK14" s="180"/>
      <c r="AL14" s="88"/>
      <c r="AM14" s="88"/>
      <c r="AN14" s="181" t="s">
        <v>27</v>
      </c>
      <c r="AO14" s="181"/>
      <c r="AP14" s="181"/>
      <c r="AQ14" s="181"/>
      <c r="AR14" s="112"/>
      <c r="AS14" s="112"/>
      <c r="AT14" s="180" t="s">
        <v>40</v>
      </c>
      <c r="AU14" s="180"/>
      <c r="AV14" s="180"/>
      <c r="AW14" s="180"/>
      <c r="AX14" s="88"/>
      <c r="AY14" s="88"/>
      <c r="AZ14" s="181" t="s">
        <v>28</v>
      </c>
      <c r="BA14" s="181"/>
      <c r="BB14" s="181"/>
      <c r="BC14" s="181"/>
      <c r="BD14" s="112"/>
      <c r="BE14" s="112"/>
      <c r="BF14" s="180" t="s">
        <v>41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37</v>
      </c>
      <c r="BS14" s="180"/>
      <c r="BT14" s="180"/>
      <c r="BU14" s="180"/>
      <c r="BV14" s="88"/>
      <c r="BW14" s="88"/>
      <c r="BX14" s="181" t="s">
        <v>25</v>
      </c>
      <c r="BY14" s="181"/>
      <c r="BZ14" s="181"/>
      <c r="CA14" s="181"/>
      <c r="CB14" s="112"/>
      <c r="CC14" s="112"/>
      <c r="CD14" s="180" t="s">
        <v>38</v>
      </c>
      <c r="CE14" s="180"/>
      <c r="CF14" s="180"/>
      <c r="CG14" s="180"/>
      <c r="CH14" s="88"/>
      <c r="CI14" s="88"/>
      <c r="CJ14" s="181" t="s">
        <v>26</v>
      </c>
      <c r="CK14" s="181"/>
      <c r="CL14" s="181"/>
      <c r="CM14" s="181"/>
      <c r="CN14" s="112"/>
      <c r="CO14" s="112"/>
      <c r="CP14" s="180" t="s">
        <v>39</v>
      </c>
      <c r="CQ14" s="180"/>
      <c r="CR14" s="180"/>
      <c r="CS14" s="180"/>
      <c r="CT14" s="88"/>
      <c r="CU14" s="88"/>
      <c r="CV14" s="181" t="s">
        <v>27</v>
      </c>
      <c r="CW14" s="181"/>
      <c r="CX14" s="181"/>
      <c r="CY14" s="181"/>
      <c r="CZ14" s="112"/>
      <c r="DA14" s="112"/>
      <c r="DB14" s="180" t="s">
        <v>40</v>
      </c>
      <c r="DC14" s="180"/>
      <c r="DD14" s="180"/>
      <c r="DE14" s="180"/>
      <c r="DF14" s="88"/>
      <c r="DG14" s="88"/>
      <c r="DH14" s="181" t="s">
        <v>28</v>
      </c>
      <c r="DI14" s="181"/>
      <c r="DJ14" s="181"/>
      <c r="DK14" s="181"/>
      <c r="DL14" s="112"/>
      <c r="DM14" s="112"/>
      <c r="DN14" s="180" t="s">
        <v>41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37</v>
      </c>
      <c r="EA14" s="180"/>
      <c r="EB14" s="180"/>
      <c r="EC14" s="180"/>
      <c r="ED14" s="88"/>
      <c r="EE14" s="88"/>
      <c r="EF14" s="181" t="s">
        <v>25</v>
      </c>
      <c r="EG14" s="181"/>
      <c r="EH14" s="181"/>
      <c r="EI14" s="181"/>
      <c r="EJ14" s="112"/>
      <c r="EK14" s="112"/>
      <c r="EL14" s="180" t="s">
        <v>38</v>
      </c>
      <c r="EM14" s="180"/>
      <c r="EN14" s="180"/>
      <c r="EO14" s="180"/>
      <c r="EP14" s="88"/>
      <c r="EQ14" s="88"/>
      <c r="ER14" s="181" t="s">
        <v>26</v>
      </c>
      <c r="ES14" s="181"/>
      <c r="ET14" s="181"/>
      <c r="EU14" s="181"/>
      <c r="EV14" s="112"/>
      <c r="EW14" s="112"/>
      <c r="EX14" s="180" t="s">
        <v>39</v>
      </c>
      <c r="EY14" s="180"/>
      <c r="EZ14" s="180"/>
      <c r="FA14" s="180"/>
      <c r="FB14" s="88"/>
      <c r="FC14" s="88"/>
      <c r="FD14" s="181" t="s">
        <v>27</v>
      </c>
      <c r="FE14" s="181"/>
      <c r="FF14" s="181"/>
      <c r="FG14" s="181"/>
      <c r="FH14" s="112"/>
      <c r="FI14" s="112"/>
      <c r="FJ14" s="180" t="s">
        <v>40</v>
      </c>
      <c r="FK14" s="180"/>
      <c r="FL14" s="180"/>
      <c r="FM14" s="180"/>
      <c r="FN14" s="88"/>
      <c r="FO14" s="88"/>
      <c r="FP14" s="181" t="s">
        <v>28</v>
      </c>
      <c r="FQ14" s="181"/>
      <c r="FR14" s="181"/>
      <c r="FS14" s="181"/>
      <c r="FT14" s="112"/>
      <c r="FU14" s="112"/>
      <c r="FV14" s="180" t="s">
        <v>41</v>
      </c>
      <c r="FW14" s="180"/>
      <c r="FX14" s="180"/>
      <c r="FY14" s="180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21</v>
      </c>
      <c r="B15" s="53" t="str">
        <f>IF(LEN(C15)=0,"",C15)</f>
        <v xml:space="preserve">Absences - imprévus </v>
      </c>
      <c r="C15" s="162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22</v>
      </c>
      <c r="B16" s="53" t="str">
        <f>IF(LEN(C17)=0,"",C17)</f>
        <v>Analyse - Planification initiale</v>
      </c>
      <c r="C16" s="163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21</v>
      </c>
      <c r="B17" s="53" t="str">
        <f>IF(LEN(C19)=0,"",C19)</f>
        <v>Réalisation - Interfaces</v>
      </c>
      <c r="C17" s="162" t="s">
        <v>33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22</v>
      </c>
      <c r="B18" s="53" t="str">
        <f>IF(LEN(C21)=0,"",C21)</f>
        <v>Doc - Journal de travail</v>
      </c>
      <c r="C18" s="163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21</v>
      </c>
      <c r="B19" s="53" t="str">
        <f>IF(LEN(C23)=0,"",C23)</f>
        <v>Doc - Rapport</v>
      </c>
      <c r="C19" s="162" t="s">
        <v>34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22</v>
      </c>
      <c r="B20" s="53" t="str">
        <f>IF(LEN(C25)=0,"",C25)</f>
        <v>Mise en place du projet</v>
      </c>
      <c r="C20" s="164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21</v>
      </c>
      <c r="B21" s="53" t="str">
        <f>IF(LEN(C27)=0,"",C27)</f>
        <v>Explication</v>
      </c>
      <c r="C21" s="162" t="s">
        <v>18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22</v>
      </c>
      <c r="B22" s="53" t="str">
        <f>IF(LEN(C29)=0,"",C29)</f>
        <v>Apprendre</v>
      </c>
      <c r="C22" s="164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21</v>
      </c>
      <c r="B23" s="53" t="str">
        <f>IF(LEN(C31)=0,"",C31)</f>
        <v>Reflection logique</v>
      </c>
      <c r="C23" s="162" t="s">
        <v>17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22</v>
      </c>
      <c r="B24" s="53" t="str">
        <f>IF(LEN(C33)=0,"",C33)</f>
        <v>Code</v>
      </c>
      <c r="C24" s="164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21</v>
      </c>
      <c r="B25" s="53" t="str">
        <f>IF(LEN(C35)=0,"",C35)</f>
        <v/>
      </c>
      <c r="C25" s="162" t="s">
        <v>47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22</v>
      </c>
      <c r="B26" s="53" t="str">
        <f>IF(LEN(C37)=0,"",C37)</f>
        <v/>
      </c>
      <c r="C26" s="163"/>
      <c r="D26" s="131" t="str">
        <f t="shared" si="0"/>
        <v>1h40min</v>
      </c>
      <c r="E26" s="30">
        <v>20</v>
      </c>
      <c r="F26" s="31"/>
      <c r="G26" s="32"/>
      <c r="H26" s="32"/>
      <c r="I26" s="32"/>
      <c r="J26" s="150"/>
      <c r="K26" s="151"/>
      <c r="L26" s="150"/>
      <c r="M26" s="150"/>
      <c r="N26" s="150"/>
      <c r="O26" s="150"/>
      <c r="P26" s="150"/>
      <c r="Q26" s="152"/>
      <c r="R26" s="150"/>
      <c r="S26" s="150"/>
      <c r="T26" s="150"/>
      <c r="U26" s="150"/>
      <c r="V26" s="150"/>
      <c r="W26" s="153"/>
      <c r="X26" s="150"/>
      <c r="Y26" s="150"/>
      <c r="Z26" s="150"/>
      <c r="AA26" s="150"/>
      <c r="AB26" s="150"/>
      <c r="AC26" s="152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21</v>
      </c>
      <c r="B27" s="53" t="str">
        <f>IF(LEN(C39)=0,"",C39)</f>
        <v/>
      </c>
      <c r="C27" s="162" t="s">
        <v>48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22</v>
      </c>
      <c r="B28" s="53" t="str">
        <f>IF(LEN(C41)=0,"",C41)</f>
        <v/>
      </c>
      <c r="C28" s="163"/>
      <c r="D28" s="131" t="str">
        <f t="shared" si="0"/>
        <v>0h20min</v>
      </c>
      <c r="E28" s="22">
        <v>4</v>
      </c>
      <c r="F28" s="148"/>
      <c r="G28" s="149"/>
      <c r="H28" s="149"/>
      <c r="I28" s="149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21</v>
      </c>
      <c r="B29" s="53" t="str">
        <f>IF(LEN(C43)=0,"",C43)</f>
        <v/>
      </c>
      <c r="C29" s="162" t="s">
        <v>49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22</v>
      </c>
      <c r="B30" s="53" t="str">
        <f>IF(LEN(C45)=0,"",C45)</f>
        <v/>
      </c>
      <c r="C30" s="163"/>
      <c r="D30" s="131" t="str">
        <f t="shared" si="0"/>
        <v>3h30min</v>
      </c>
      <c r="E30" s="30">
        <v>42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150"/>
      <c r="AE30" s="150"/>
      <c r="AF30" s="150"/>
      <c r="AG30" s="150"/>
      <c r="AH30" s="150"/>
      <c r="AI30" s="153"/>
      <c r="AJ30" s="150"/>
      <c r="AK30" s="150"/>
      <c r="AL30" s="150"/>
      <c r="AM30" s="150"/>
      <c r="AN30" s="150"/>
      <c r="AO30" s="152"/>
      <c r="AP30" s="150"/>
      <c r="AQ30" s="150"/>
      <c r="AR30" s="150"/>
      <c r="AS30" s="150"/>
      <c r="AT30" s="150"/>
      <c r="AU30" s="153"/>
      <c r="AV30" s="150"/>
      <c r="AW30" s="150"/>
      <c r="AX30" s="150"/>
      <c r="AY30" s="150"/>
      <c r="AZ30" s="150"/>
      <c r="BA30" s="152"/>
      <c r="BB30" s="150"/>
      <c r="BC30" s="150"/>
      <c r="BD30" s="150"/>
      <c r="BE30" s="150"/>
      <c r="BF30" s="150"/>
      <c r="BG30" s="153"/>
      <c r="BH30" s="150"/>
      <c r="BI30" s="150"/>
      <c r="BJ30" s="150"/>
      <c r="BK30" s="150"/>
      <c r="BL30" s="150"/>
      <c r="BM30" s="154"/>
      <c r="BN30" s="31"/>
      <c r="BO30" s="32"/>
      <c r="BP30" s="32"/>
      <c r="BQ30" s="150"/>
      <c r="BR30" s="150"/>
      <c r="BS30" s="151"/>
      <c r="BT30" s="150"/>
      <c r="BU30" s="150"/>
      <c r="BV30" s="150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21</v>
      </c>
      <c r="B31" s="53" t="str">
        <f>IF(LEN(C47)=0,"",C47)</f>
        <v/>
      </c>
      <c r="C31" s="162" t="s">
        <v>50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22</v>
      </c>
      <c r="B32" s="53" t="str">
        <f>IF(LEN(C49)=0,"",C49)</f>
        <v/>
      </c>
      <c r="C32" s="163"/>
      <c r="D32" s="131" t="str">
        <f t="shared" si="0"/>
        <v>0h15min</v>
      </c>
      <c r="E32" s="22">
        <v>3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148"/>
      <c r="BO32" s="149"/>
      <c r="BP32" s="149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21</v>
      </c>
      <c r="B33" s="53" t="str">
        <f>IF(LEN(C51)=0,"",C51)</f>
        <v/>
      </c>
      <c r="C33" s="162" t="s">
        <v>51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22</v>
      </c>
      <c r="B34" s="53" t="str">
        <f>IF(LEN(C53)=0,"",C53)</f>
        <v/>
      </c>
      <c r="C34" s="163"/>
      <c r="D34" s="131" t="str">
        <f t="shared" si="0"/>
        <v>2h</v>
      </c>
      <c r="E34" s="30">
        <v>24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150"/>
      <c r="BX34" s="150"/>
      <c r="BY34" s="152"/>
      <c r="BZ34" s="150"/>
      <c r="CA34" s="150"/>
      <c r="CB34" s="150"/>
      <c r="CC34" s="150"/>
      <c r="CD34" s="150"/>
      <c r="CE34" s="153"/>
      <c r="CF34" s="150"/>
      <c r="CG34" s="150"/>
      <c r="CH34" s="150"/>
      <c r="CI34" s="150"/>
      <c r="CJ34" s="150"/>
      <c r="CK34" s="152"/>
      <c r="CL34" s="150"/>
      <c r="CM34" s="150"/>
      <c r="CN34" s="150"/>
      <c r="CO34" s="150"/>
      <c r="CP34" s="150"/>
      <c r="CQ34" s="153"/>
      <c r="CR34" s="150"/>
      <c r="CS34" s="150"/>
      <c r="CT34" s="150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21</v>
      </c>
      <c r="B35" s="53" t="str">
        <f>IF(LEN(C55)=0,"",C55)</f>
        <v/>
      </c>
      <c r="C35" s="162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22</v>
      </c>
      <c r="B36" s="53" t="str">
        <f>IF(LEN(C57)=0,"",C57)</f>
        <v/>
      </c>
      <c r="C36" s="164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21</v>
      </c>
      <c r="B37" s="53" t="str">
        <f>IF(LEN(C59)=0,"",C59)</f>
        <v/>
      </c>
      <c r="C37" s="162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22</v>
      </c>
      <c r="B38" s="53" t="str">
        <f>IF(LEN(C61)=0,"",C61)</f>
        <v/>
      </c>
      <c r="C38" s="163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21</v>
      </c>
      <c r="B39" s="53" t="str">
        <f>IF(LEN(C63)=0,"",C63)</f>
        <v/>
      </c>
      <c r="C39" s="162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22</v>
      </c>
      <c r="B40" s="53" t="str">
        <f>IF(LEN(C65)=0,"",C65)</f>
        <v/>
      </c>
      <c r="C40" s="164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21</v>
      </c>
      <c r="B41" s="53" t="str">
        <f>IF(LEN(C67)=0,"",C67)</f>
        <v/>
      </c>
      <c r="C41" s="162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22</v>
      </c>
      <c r="B42" s="53" t="str">
        <f>IF(LEN(C69)=0,"",C69)</f>
        <v/>
      </c>
      <c r="C42" s="163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21</v>
      </c>
      <c r="B43" s="53" t="str">
        <f>IF(LEN(C71)=0,"",C71)</f>
        <v/>
      </c>
      <c r="C43" s="162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22</v>
      </c>
      <c r="B44" s="53" t="str">
        <f>IF(LEN(C73)=0,"",C73)</f>
        <v/>
      </c>
      <c r="C44" s="163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21</v>
      </c>
      <c r="B45" s="53" t="str">
        <f>IF(LEN(C75)=0,"",C75)</f>
        <v/>
      </c>
      <c r="C45" s="162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22</v>
      </c>
      <c r="B46" s="53" t="str">
        <f>IF(LEN(C77)=0,"",C77)</f>
        <v/>
      </c>
      <c r="C46" s="164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21</v>
      </c>
      <c r="B47" s="53" t="str">
        <f>IF(LEN(C79)=0,"",C79)</f>
        <v/>
      </c>
      <c r="C47" s="162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22</v>
      </c>
      <c r="B48" s="53" t="str">
        <f>IF(LEN(C81)=0,"",C81)</f>
        <v/>
      </c>
      <c r="C48" s="163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21</v>
      </c>
      <c r="B49" s="53" t="str">
        <f>IF(LEN(C83)=0,"",C83)</f>
        <v/>
      </c>
      <c r="C49" s="162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22</v>
      </c>
      <c r="B50" s="53" t="str">
        <f>IF(LEN(C85)=0,"",C85)</f>
        <v/>
      </c>
      <c r="C50" s="163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21</v>
      </c>
      <c r="B51" s="53" t="str">
        <f>IF(LEN(C87)=0,"",C87)</f>
        <v/>
      </c>
      <c r="C51" s="162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22</v>
      </c>
      <c r="B52" s="53" t="str">
        <f>IF(LEN(C89)=0,"",C89)</f>
        <v/>
      </c>
      <c r="C52" s="164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21</v>
      </c>
      <c r="B53" s="53" t="str">
        <f>IF(LEN(C91)=0,"",C91)</f>
        <v/>
      </c>
      <c r="C53" s="162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22</v>
      </c>
      <c r="B54" s="53" t="str">
        <f>IF(LEN(C93)=0,"",C93)</f>
        <v/>
      </c>
      <c r="C54" s="163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21</v>
      </c>
      <c r="B55" s="53"/>
      <c r="C55" s="162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22</v>
      </c>
      <c r="B56" s="53"/>
      <c r="C56" s="164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21</v>
      </c>
      <c r="B57" s="53"/>
      <c r="C57" s="162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22</v>
      </c>
      <c r="B58" s="53"/>
      <c r="C58" s="163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21</v>
      </c>
      <c r="B59" s="53"/>
      <c r="C59" s="162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22</v>
      </c>
      <c r="B60" s="53"/>
      <c r="C60" s="163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21</v>
      </c>
      <c r="B61" s="53"/>
      <c r="C61" s="162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22</v>
      </c>
      <c r="B62" s="53"/>
      <c r="C62" s="164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21</v>
      </c>
      <c r="B63" s="53"/>
      <c r="C63" s="162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22</v>
      </c>
      <c r="B64" s="53"/>
      <c r="C64" s="163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21</v>
      </c>
      <c r="B65" s="53"/>
      <c r="C65" s="162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22</v>
      </c>
      <c r="B66" s="53"/>
      <c r="C66" s="163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21</v>
      </c>
      <c r="B67" s="53"/>
      <c r="C67" s="162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22</v>
      </c>
      <c r="B68" s="53"/>
      <c r="C68" s="164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21</v>
      </c>
      <c r="B69" s="53"/>
      <c r="C69" s="162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22</v>
      </c>
      <c r="B70" s="53"/>
      <c r="C70" s="163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21</v>
      </c>
      <c r="B71" s="53"/>
      <c r="C71" s="162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22</v>
      </c>
      <c r="B72" s="53"/>
      <c r="C72" s="164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21</v>
      </c>
      <c r="B73" s="53"/>
      <c r="C73" s="162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22</v>
      </c>
      <c r="B74" s="53"/>
      <c r="C74" s="163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21</v>
      </c>
      <c r="B75" s="53"/>
      <c r="C75" s="162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22</v>
      </c>
      <c r="B76" s="53"/>
      <c r="C76" s="163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21</v>
      </c>
      <c r="B77" s="53"/>
      <c r="C77" s="162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22</v>
      </c>
      <c r="B78" s="53"/>
      <c r="C78" s="164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21</v>
      </c>
      <c r="B79" s="53"/>
      <c r="C79" s="162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22</v>
      </c>
      <c r="B80" s="53"/>
      <c r="C80" s="163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21</v>
      </c>
      <c r="B81" s="53"/>
      <c r="C81" s="162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22</v>
      </c>
      <c r="B82" s="53"/>
      <c r="C82" s="163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21</v>
      </c>
      <c r="B83" s="53"/>
      <c r="C83" s="162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22</v>
      </c>
      <c r="B84" s="53"/>
      <c r="C84" s="164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21</v>
      </c>
      <c r="B85" s="53"/>
      <c r="C85" s="162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22</v>
      </c>
      <c r="B86" s="53"/>
      <c r="C86" s="163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21</v>
      </c>
      <c r="B87" s="53"/>
      <c r="C87" s="162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22</v>
      </c>
      <c r="B88" s="53"/>
      <c r="C88" s="164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21</v>
      </c>
      <c r="B89" s="53"/>
      <c r="C89" s="162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22</v>
      </c>
      <c r="B90" s="53"/>
      <c r="C90" s="163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21</v>
      </c>
      <c r="B91" s="53"/>
      <c r="C91" s="162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22</v>
      </c>
      <c r="B92" s="53"/>
      <c r="C92" s="163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21</v>
      </c>
      <c r="B93" s="53"/>
      <c r="C93" s="162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22</v>
      </c>
      <c r="B94" s="53"/>
      <c r="C94" s="164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86" t="s">
        <v>9</v>
      </c>
      <c r="D95" s="187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88"/>
      <c r="D96" s="189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82" t="s">
        <v>10</v>
      </c>
      <c r="D97" s="183"/>
      <c r="E97" s="102">
        <f>SUM(E16,E18,E20,E22,E24,E26,E28,E30,E32,E34,E36,E38,E40,E42,E44,E46,E48,E50,E52,E54,E56,E58,E60,E62,E64,E66,E68,E70,E72,E74,E76,E78,E80,E82,E84,E86,E88,E90,E92,E94)</f>
        <v>93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84"/>
      <c r="D98" s="185"/>
      <c r="E98" s="106" t="str">
        <f xml:space="preserve"> setValueToTime(E97)</f>
        <v>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80"/>
  <sheetViews>
    <sheetView showGridLines="0" tabSelected="1" zoomScaleNormal="100" zoomScaleSheetLayoutView="98" workbookViewId="0">
      <pane ySplit="1" topLeftCell="A51" activePane="bottomLeft" state="frozen"/>
      <selection pane="bottomLeft" activeCell="D67" sqref="D67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50.140625" style="109" customWidth="1"/>
    <col min="6" max="6" width="25.570312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13</v>
      </c>
      <c r="B2" s="147">
        <v>8</v>
      </c>
      <c r="C2" s="147"/>
      <c r="D2" s="140" t="s">
        <v>16</v>
      </c>
      <c r="E2" s="141">
        <v>45597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43</v>
      </c>
      <c r="C3" s="143"/>
      <c r="D3" s="63" t="s">
        <v>14</v>
      </c>
      <c r="E3" s="196" t="s">
        <v>15</v>
      </c>
      <c r="F3" s="19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198"/>
      <c r="F4" s="19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0"/>
      <c r="F10" s="19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2"/>
      <c r="F11" s="193"/>
      <c r="G11" s="3"/>
    </row>
    <row r="12" spans="1:7" s="44" customFormat="1" ht="15" thickBot="1" x14ac:dyDescent="0.35">
      <c r="A12" s="145" t="s">
        <v>30</v>
      </c>
      <c r="B12" s="68">
        <f>SUM(B4:B11)</f>
        <v>0</v>
      </c>
      <c r="C12" s="145" t="str">
        <f xml:space="preserve"> setValueToTime(B12)</f>
        <v>0h</v>
      </c>
      <c r="D12" s="105"/>
      <c r="E12" s="194"/>
      <c r="F12" s="195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13</v>
      </c>
      <c r="B14" s="147">
        <v>7</v>
      </c>
      <c r="C14" s="147"/>
      <c r="D14" s="140" t="s">
        <v>16</v>
      </c>
      <c r="E14" s="141">
        <v>45576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43</v>
      </c>
      <c r="C15" s="143"/>
      <c r="D15" s="63" t="s">
        <v>14</v>
      </c>
      <c r="E15" s="196" t="s">
        <v>15</v>
      </c>
      <c r="F15" s="197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198"/>
      <c r="F16" s="19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0"/>
      <c r="F17" s="19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0"/>
      <c r="F18" s="19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0"/>
      <c r="F19" s="19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0"/>
      <c r="F20" s="19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0"/>
      <c r="F21" s="19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0"/>
      <c r="F22" s="19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2"/>
      <c r="F23" s="193"/>
      <c r="G23" s="3"/>
    </row>
    <row r="24" spans="1:7" s="44" customFormat="1" ht="15" thickBot="1" x14ac:dyDescent="0.35">
      <c r="A24" s="145" t="s">
        <v>30</v>
      </c>
      <c r="B24" s="68">
        <f>SUM(B16:B23)</f>
        <v>0</v>
      </c>
      <c r="C24" s="145" t="str">
        <f xml:space="preserve"> setValueToTime(B24)</f>
        <v>0h</v>
      </c>
      <c r="D24" s="105"/>
      <c r="E24" s="194"/>
      <c r="F24" s="195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13</v>
      </c>
      <c r="B26" s="147">
        <v>6</v>
      </c>
      <c r="C26" s="147"/>
      <c r="D26" s="140" t="s">
        <v>16</v>
      </c>
      <c r="E26" s="141">
        <v>45569</v>
      </c>
      <c r="F26" s="142"/>
      <c r="G26" s="39"/>
    </row>
    <row r="27" spans="1:7" s="40" customFormat="1" ht="30" customHeight="1" thickBot="1" x14ac:dyDescent="0.3">
      <c r="A27" s="63" t="s">
        <v>5</v>
      </c>
      <c r="B27" s="144" t="s">
        <v>43</v>
      </c>
      <c r="C27" s="143"/>
      <c r="D27" s="63" t="s">
        <v>14</v>
      </c>
      <c r="E27" s="196" t="s">
        <v>15</v>
      </c>
      <c r="F27" s="197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198"/>
      <c r="F28" s="19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190"/>
      <c r="F29" s="19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0"/>
      <c r="F30" s="19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0"/>
      <c r="F31" s="19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0"/>
      <c r="F32" s="19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0"/>
      <c r="F33" s="19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0"/>
      <c r="F34" s="19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2"/>
      <c r="F35" s="193"/>
      <c r="G35" s="3"/>
    </row>
    <row r="36" spans="1:7" s="44" customFormat="1" ht="15" thickBot="1" x14ac:dyDescent="0.35">
      <c r="A36" s="145" t="s">
        <v>30</v>
      </c>
      <c r="B36" s="68">
        <f>SUM(B28:B35)</f>
        <v>0</v>
      </c>
      <c r="C36" s="145" t="str">
        <f xml:space="preserve"> setValueToTime(B36)</f>
        <v>0h</v>
      </c>
      <c r="D36" s="105"/>
      <c r="E36" s="194"/>
      <c r="F36" s="195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13</v>
      </c>
      <c r="B38" s="147">
        <v>5</v>
      </c>
      <c r="C38" s="147"/>
      <c r="D38" s="140" t="s">
        <v>16</v>
      </c>
      <c r="E38" s="141">
        <v>45562</v>
      </c>
      <c r="F38" s="142"/>
      <c r="G38" s="39"/>
    </row>
    <row r="39" spans="1:7" s="40" customFormat="1" ht="30" customHeight="1" thickBot="1" x14ac:dyDescent="0.3">
      <c r="A39" s="63" t="s">
        <v>5</v>
      </c>
      <c r="B39" s="144" t="s">
        <v>43</v>
      </c>
      <c r="C39" s="143"/>
      <c r="D39" s="63" t="s">
        <v>14</v>
      </c>
      <c r="E39" s="196" t="s">
        <v>15</v>
      </c>
      <c r="F39" s="197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198"/>
      <c r="F40" s="19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190"/>
      <c r="F41" s="19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0"/>
      <c r="F42" s="19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0"/>
      <c r="F43" s="19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0"/>
      <c r="F44" s="19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0"/>
      <c r="F45" s="19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0"/>
      <c r="F46" s="19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2"/>
      <c r="F47" s="193"/>
      <c r="G47" s="3"/>
    </row>
    <row r="48" spans="1:7" s="44" customFormat="1" ht="15" thickBot="1" x14ac:dyDescent="0.35">
      <c r="A48" s="145" t="s">
        <v>30</v>
      </c>
      <c r="B48" s="68">
        <f>SUM(B40:B47)</f>
        <v>0</v>
      </c>
      <c r="C48" s="145" t="str">
        <f xml:space="preserve"> setValueToTime(B48)</f>
        <v>0h</v>
      </c>
      <c r="D48" s="105"/>
      <c r="E48" s="194"/>
      <c r="F48" s="195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13</v>
      </c>
      <c r="B50" s="147">
        <v>4</v>
      </c>
      <c r="C50" s="147"/>
      <c r="D50" s="140" t="s">
        <v>16</v>
      </c>
      <c r="E50" s="141">
        <v>45555</v>
      </c>
      <c r="F50" s="142"/>
      <c r="G50" s="39"/>
    </row>
    <row r="51" spans="1:7" s="40" customFormat="1" ht="30" customHeight="1" thickBot="1" x14ac:dyDescent="0.3">
      <c r="A51" s="63" t="s">
        <v>5</v>
      </c>
      <c r="B51" s="144" t="s">
        <v>43</v>
      </c>
      <c r="C51" s="143"/>
      <c r="D51" s="63" t="s">
        <v>14</v>
      </c>
      <c r="E51" s="196" t="s">
        <v>15</v>
      </c>
      <c r="F51" s="197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198"/>
      <c r="F52" s="19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0"/>
      <c r="F53" s="19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0"/>
      <c r="F54" s="19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0"/>
      <c r="F55" s="19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0"/>
      <c r="F56" s="19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0"/>
      <c r="F57" s="19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0"/>
      <c r="F58" s="19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2"/>
      <c r="F59" s="193"/>
      <c r="G59" s="3"/>
    </row>
    <row r="60" spans="1:7" s="44" customFormat="1" ht="15" thickBot="1" x14ac:dyDescent="0.35">
      <c r="A60" s="145" t="s">
        <v>30</v>
      </c>
      <c r="B60" s="68">
        <f>SUM(B52:B59)</f>
        <v>0</v>
      </c>
      <c r="C60" s="145" t="str">
        <f xml:space="preserve"> setValueToTime(B60)</f>
        <v>0h</v>
      </c>
      <c r="D60" s="105"/>
      <c r="E60" s="194"/>
      <c r="F60" s="195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13</v>
      </c>
      <c r="B62" s="147">
        <v>3</v>
      </c>
      <c r="C62" s="147"/>
      <c r="D62" s="140" t="s">
        <v>16</v>
      </c>
      <c r="E62" s="141">
        <v>45548</v>
      </c>
      <c r="F62" s="142"/>
      <c r="G62" s="39"/>
    </row>
    <row r="63" spans="1:7" s="40" customFormat="1" ht="30" customHeight="1" thickBot="1" x14ac:dyDescent="0.3">
      <c r="A63" s="63" t="s">
        <v>5</v>
      </c>
      <c r="B63" s="144" t="s">
        <v>43</v>
      </c>
      <c r="C63" s="143"/>
      <c r="D63" s="63" t="s">
        <v>14</v>
      </c>
      <c r="E63" s="196" t="s">
        <v>15</v>
      </c>
      <c r="F63" s="197"/>
      <c r="G63" s="39"/>
    </row>
    <row r="64" spans="1:7" s="44" customFormat="1" x14ac:dyDescent="0.3">
      <c r="A64" s="41" t="s">
        <v>4</v>
      </c>
      <c r="B64" s="42">
        <v>18</v>
      </c>
      <c r="C64" s="135" t="str">
        <f xml:space="preserve"> IF(B64="","",setValueToTime(B64))</f>
        <v>1h30min</v>
      </c>
      <c r="D64" s="43" t="s">
        <v>65</v>
      </c>
      <c r="E64" s="198"/>
      <c r="F64" s="199"/>
      <c r="G64" s="3"/>
    </row>
    <row r="65" spans="1:7" s="44" customFormat="1" x14ac:dyDescent="0.3">
      <c r="A65" s="45" t="s">
        <v>4</v>
      </c>
      <c r="B65" s="46">
        <v>2</v>
      </c>
      <c r="C65" s="136" t="str">
        <f t="shared" ref="C65:C71" si="5" xml:space="preserve"> IF(B65="","",setValueToTime(B65))</f>
        <v>0h10min</v>
      </c>
      <c r="D65" s="47" t="s">
        <v>66</v>
      </c>
      <c r="E65" s="190"/>
      <c r="F65" s="191"/>
      <c r="G65" s="3"/>
    </row>
    <row r="66" spans="1:7" s="44" customFormat="1" x14ac:dyDescent="0.3">
      <c r="A66" s="45" t="s">
        <v>48</v>
      </c>
      <c r="B66" s="46">
        <v>5</v>
      </c>
      <c r="C66" s="136" t="str">
        <f t="shared" si="5"/>
        <v>0h25min</v>
      </c>
      <c r="D66" s="47" t="s">
        <v>71</v>
      </c>
      <c r="E66" s="190"/>
      <c r="F66" s="19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0"/>
      <c r="F67" s="19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0"/>
      <c r="F68" s="19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0"/>
      <c r="F69" s="19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0"/>
      <c r="F70" s="19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2"/>
      <c r="F71" s="193"/>
      <c r="G71" s="3"/>
    </row>
    <row r="72" spans="1:7" s="44" customFormat="1" ht="15" thickBot="1" x14ac:dyDescent="0.35">
      <c r="A72" s="145" t="s">
        <v>30</v>
      </c>
      <c r="B72" s="68">
        <f>SUM(B64:B71)</f>
        <v>25</v>
      </c>
      <c r="C72" s="145" t="str">
        <f xml:space="preserve"> setValueToTime(B72)</f>
        <v>2h5min</v>
      </c>
      <c r="D72" s="105"/>
      <c r="E72" s="194"/>
      <c r="F72" s="195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13</v>
      </c>
      <c r="B74" s="147">
        <v>2</v>
      </c>
      <c r="C74" s="147"/>
      <c r="D74" s="140" t="s">
        <v>16</v>
      </c>
      <c r="E74" s="141">
        <v>45541</v>
      </c>
      <c r="F74" s="142"/>
      <c r="G74" s="39"/>
    </row>
    <row r="75" spans="1:7" s="40" customFormat="1" ht="30" customHeight="1" thickBot="1" x14ac:dyDescent="0.3">
      <c r="A75" s="63" t="s">
        <v>5</v>
      </c>
      <c r="B75" s="144" t="s">
        <v>43</v>
      </c>
      <c r="C75" s="143"/>
      <c r="D75" s="63" t="s">
        <v>14</v>
      </c>
      <c r="E75" s="196" t="s">
        <v>15</v>
      </c>
      <c r="F75" s="197"/>
      <c r="G75" s="39"/>
    </row>
    <row r="76" spans="1:7" s="44" customFormat="1" ht="27" x14ac:dyDescent="0.3">
      <c r="A76" s="41" t="s">
        <v>50</v>
      </c>
      <c r="B76" s="42">
        <v>12</v>
      </c>
      <c r="C76" s="135" t="str">
        <f xml:space="preserve"> IF(B76="","",setValueToTime(B76))</f>
        <v>1h</v>
      </c>
      <c r="D76" s="43" t="s">
        <v>60</v>
      </c>
      <c r="E76" s="198"/>
      <c r="F76" s="199"/>
      <c r="G76" s="3"/>
    </row>
    <row r="77" spans="1:7" s="44" customFormat="1" ht="27" x14ac:dyDescent="0.3">
      <c r="A77" s="45" t="s">
        <v>47</v>
      </c>
      <c r="B77" s="46">
        <v>4</v>
      </c>
      <c r="C77" s="136" t="str">
        <f t="shared" ref="C77:C83" si="6" xml:space="preserve"> IF(B77="","",setValueToTime(B77))</f>
        <v>0h20min</v>
      </c>
      <c r="D77" s="47" t="s">
        <v>61</v>
      </c>
      <c r="E77" s="190"/>
      <c r="F77" s="191"/>
      <c r="G77" s="3"/>
    </row>
    <row r="78" spans="1:7" s="44" customFormat="1" x14ac:dyDescent="0.3">
      <c r="A78" s="45" t="s">
        <v>51</v>
      </c>
      <c r="B78" s="46">
        <v>2</v>
      </c>
      <c r="C78" s="136" t="str">
        <f t="shared" si="6"/>
        <v>0h10min</v>
      </c>
      <c r="D78" s="47" t="s">
        <v>62</v>
      </c>
      <c r="E78" s="190"/>
      <c r="F78" s="191"/>
      <c r="G78" s="3"/>
    </row>
    <row r="79" spans="1:7" s="44" customFormat="1" ht="48" customHeight="1" x14ac:dyDescent="0.3">
      <c r="A79" s="45" t="s">
        <v>49</v>
      </c>
      <c r="B79" s="46">
        <v>8</v>
      </c>
      <c r="C79" s="136" t="str">
        <f t="shared" ref="C79" si="7" xml:space="preserve"> IF(B79="","",setValueToTime(B79))</f>
        <v>0h40min</v>
      </c>
      <c r="D79" s="47" t="s">
        <v>63</v>
      </c>
      <c r="E79" s="200" t="s">
        <v>67</v>
      </c>
      <c r="F79" s="201"/>
      <c r="G79" s="3"/>
    </row>
    <row r="80" spans="1:7" s="44" customFormat="1" x14ac:dyDescent="0.3">
      <c r="A80" s="46" t="s">
        <v>51</v>
      </c>
      <c r="B80" s="46">
        <v>10</v>
      </c>
      <c r="C80" s="137" t="str">
        <f t="shared" si="6"/>
        <v>0h50min</v>
      </c>
      <c r="D80" s="47" t="s">
        <v>64</v>
      </c>
      <c r="E80" s="190"/>
      <c r="F80" s="19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0"/>
      <c r="F81" s="19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0"/>
      <c r="F82" s="19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2"/>
      <c r="F83" s="193"/>
      <c r="G83" s="3"/>
    </row>
    <row r="84" spans="1:7" s="44" customFormat="1" ht="15" thickBot="1" x14ac:dyDescent="0.35">
      <c r="A84" s="145" t="s">
        <v>30</v>
      </c>
      <c r="B84" s="68">
        <f>SUM(B76:B83)</f>
        <v>36</v>
      </c>
      <c r="C84" s="145" t="str">
        <f xml:space="preserve"> setValueToTime(B84)</f>
        <v>3h</v>
      </c>
      <c r="D84" s="105"/>
      <c r="E84" s="194"/>
      <c r="F84" s="195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13</v>
      </c>
      <c r="B86" s="147">
        <v>1</v>
      </c>
      <c r="C86" s="147"/>
      <c r="D86" s="140" t="s">
        <v>16</v>
      </c>
      <c r="E86" s="141">
        <v>45534</v>
      </c>
      <c r="F86" s="142"/>
      <c r="G86" s="39"/>
    </row>
    <row r="87" spans="1:7" s="40" customFormat="1" ht="30" customHeight="1" thickBot="1" x14ac:dyDescent="0.3">
      <c r="A87" s="63" t="s">
        <v>5</v>
      </c>
      <c r="B87" s="144" t="s">
        <v>43</v>
      </c>
      <c r="C87" s="143"/>
      <c r="D87" s="63" t="s">
        <v>14</v>
      </c>
      <c r="E87" s="196" t="s">
        <v>15</v>
      </c>
      <c r="F87" s="197"/>
      <c r="G87" s="39"/>
    </row>
    <row r="88" spans="1:7" s="44" customFormat="1" x14ac:dyDescent="0.3">
      <c r="A88" s="41" t="s">
        <v>48</v>
      </c>
      <c r="B88" s="42">
        <v>15</v>
      </c>
      <c r="C88" s="135" t="str">
        <f xml:space="preserve"> IF(B88="","",setValueToTime(B88))</f>
        <v>1h15min</v>
      </c>
      <c r="D88" s="43" t="s">
        <v>54</v>
      </c>
      <c r="E88" s="198"/>
      <c r="F88" s="199"/>
      <c r="G88" s="3"/>
    </row>
    <row r="89" spans="1:7" s="44" customFormat="1" ht="69" customHeight="1" x14ac:dyDescent="0.3">
      <c r="A89" s="45" t="s">
        <v>50</v>
      </c>
      <c r="B89" s="46">
        <v>13</v>
      </c>
      <c r="C89" s="136" t="str">
        <f t="shared" ref="C89:C95" si="8" xml:space="preserve"> IF(B89="","",setValueToTime(B89))</f>
        <v>1h5min</v>
      </c>
      <c r="D89" s="47" t="s">
        <v>55</v>
      </c>
      <c r="E89" s="190" t="s">
        <v>56</v>
      </c>
      <c r="F89" s="191"/>
      <c r="G89" s="3"/>
    </row>
    <row r="90" spans="1:7" s="44" customFormat="1" ht="27" x14ac:dyDescent="0.3">
      <c r="A90" s="45" t="s">
        <v>47</v>
      </c>
      <c r="B90" s="46">
        <v>6</v>
      </c>
      <c r="C90" s="136" t="str">
        <f t="shared" si="8"/>
        <v>0h30min</v>
      </c>
      <c r="D90" s="47" t="s">
        <v>57</v>
      </c>
      <c r="E90" s="190" t="s">
        <v>58</v>
      </c>
      <c r="F90" s="191"/>
      <c r="G90" s="3"/>
    </row>
    <row r="91" spans="1:7" s="44" customFormat="1" ht="27" customHeight="1" x14ac:dyDescent="0.3">
      <c r="A91" s="45"/>
      <c r="B91" s="46"/>
      <c r="C91" s="136"/>
      <c r="D91" s="47"/>
      <c r="E91" s="190"/>
      <c r="F91" s="191"/>
      <c r="G91" s="3"/>
    </row>
    <row r="92" spans="1:7" s="44" customFormat="1" ht="27" x14ac:dyDescent="0.3">
      <c r="A92" s="46" t="s">
        <v>18</v>
      </c>
      <c r="B92" s="46">
        <v>2</v>
      </c>
      <c r="C92" s="137" t="str">
        <f t="shared" si="8"/>
        <v>0h10min</v>
      </c>
      <c r="D92" s="47" t="s">
        <v>59</v>
      </c>
      <c r="E92" s="190"/>
      <c r="F92" s="191"/>
      <c r="G92" s="3"/>
    </row>
    <row r="93" spans="1:7" s="44" customFormat="1" x14ac:dyDescent="0.3">
      <c r="A93" s="46"/>
      <c r="B93" s="46"/>
      <c r="C93" s="137" t="str">
        <f t="shared" si="8"/>
        <v/>
      </c>
      <c r="D93" s="47"/>
      <c r="E93" s="190"/>
      <c r="F93" s="191"/>
      <c r="G93" s="3"/>
    </row>
    <row r="94" spans="1:7" s="44" customFormat="1" x14ac:dyDescent="0.3">
      <c r="A94" s="46"/>
      <c r="B94" s="46"/>
      <c r="C94" s="137" t="str">
        <f t="shared" si="8"/>
        <v/>
      </c>
      <c r="D94" s="47"/>
      <c r="E94" s="190"/>
      <c r="F94" s="191"/>
      <c r="G94" s="3"/>
    </row>
    <row r="95" spans="1:7" s="44" customFormat="1" ht="15" thickBot="1" x14ac:dyDescent="0.35">
      <c r="A95" s="48"/>
      <c r="B95" s="48"/>
      <c r="C95" s="138" t="str">
        <f t="shared" si="8"/>
        <v/>
      </c>
      <c r="D95" s="49"/>
      <c r="E95" s="192"/>
      <c r="F95" s="193"/>
      <c r="G95" s="3"/>
    </row>
    <row r="96" spans="1:7" s="44" customFormat="1" ht="15" thickBot="1" x14ac:dyDescent="0.35">
      <c r="A96" s="145" t="s">
        <v>30</v>
      </c>
      <c r="B96" s="68">
        <f>SUM(B88:B95)</f>
        <v>36</v>
      </c>
      <c r="C96" s="145" t="str">
        <f xml:space="preserve"> setValueToTime(B96)</f>
        <v>3h</v>
      </c>
      <c r="D96" s="105"/>
      <c r="E96" s="194"/>
      <c r="F96" s="195"/>
      <c r="G96" s="3"/>
    </row>
    <row r="97" spans="1:7" s="44" customFormat="1" x14ac:dyDescent="0.3">
      <c r="A97" s="62"/>
      <c r="B97" s="62"/>
      <c r="C97" s="62"/>
      <c r="D97" s="62"/>
      <c r="E97" s="62"/>
      <c r="F97" s="62"/>
      <c r="G97" s="3"/>
    </row>
    <row r="98" spans="1:7" s="40" customFormat="1" ht="30" customHeight="1" x14ac:dyDescent="0.3">
      <c r="A98" s="50"/>
      <c r="B98" s="50"/>
      <c r="C98" s="50"/>
      <c r="D98" s="50"/>
      <c r="E98" s="109"/>
      <c r="F98" s="51"/>
      <c r="G98" s="51"/>
    </row>
    <row r="99" spans="1:7" s="40" customFormat="1" ht="30" customHeight="1" x14ac:dyDescent="0.3">
      <c r="A99" s="50"/>
      <c r="B99" s="50"/>
      <c r="C99" s="50"/>
      <c r="D99" s="50"/>
      <c r="E99" s="109"/>
      <c r="F99" s="51"/>
      <c r="G99" s="51"/>
    </row>
    <row r="100" spans="1:7" s="44" customFormat="1" x14ac:dyDescent="0.3">
      <c r="A100" s="50"/>
      <c r="B100" s="50"/>
      <c r="C100" s="50"/>
      <c r="D100" s="50"/>
      <c r="E100" s="109"/>
      <c r="F100" s="51"/>
      <c r="G100" s="51"/>
    </row>
    <row r="101" spans="1:7" s="44" customFormat="1" x14ac:dyDescent="0.3">
      <c r="A101" s="50"/>
      <c r="B101" s="50"/>
      <c r="C101" s="50"/>
      <c r="D101" s="50"/>
      <c r="E101" s="109"/>
      <c r="F101" s="51"/>
      <c r="G101" s="51"/>
    </row>
    <row r="102" spans="1:7" s="44" customFormat="1" x14ac:dyDescent="0.3">
      <c r="A102" s="50"/>
      <c r="B102" s="50"/>
      <c r="C102" s="50"/>
      <c r="D102" s="50"/>
      <c r="E102" s="109"/>
      <c r="F102" s="51"/>
      <c r="G102" s="51"/>
    </row>
    <row r="103" spans="1:7" s="44" customFormat="1" x14ac:dyDescent="0.3">
      <c r="A103" s="50"/>
      <c r="B103" s="50"/>
      <c r="C103" s="50"/>
      <c r="D103" s="50"/>
      <c r="E103" s="109"/>
      <c r="F103" s="51"/>
      <c r="G103" s="51"/>
    </row>
    <row r="104" spans="1:7" s="44" customFormat="1" x14ac:dyDescent="0.3">
      <c r="A104" s="50"/>
      <c r="B104" s="50"/>
      <c r="C104" s="50"/>
      <c r="D104" s="50"/>
      <c r="E104" s="109"/>
      <c r="F104" s="51"/>
      <c r="G104" s="51"/>
    </row>
    <row r="105" spans="1:7" s="44" customFormat="1" x14ac:dyDescent="0.3">
      <c r="A105" s="50"/>
      <c r="B105" s="50"/>
      <c r="C105" s="50"/>
      <c r="D105" s="50"/>
      <c r="E105" s="109"/>
      <c r="F105" s="51"/>
      <c r="G105" s="51"/>
    </row>
    <row r="106" spans="1:7" s="44" customFormat="1" x14ac:dyDescent="0.3">
      <c r="A106" s="50"/>
      <c r="B106" s="50"/>
      <c r="C106" s="50"/>
      <c r="D106" s="50"/>
      <c r="E106" s="109"/>
      <c r="F106" s="51"/>
      <c r="G106" s="51"/>
    </row>
    <row r="107" spans="1:7" s="44" customFormat="1" x14ac:dyDescent="0.3">
      <c r="A107" s="50"/>
      <c r="B107" s="50"/>
      <c r="C107" s="50"/>
      <c r="D107" s="50"/>
      <c r="E107" s="109"/>
      <c r="F107" s="51"/>
      <c r="G107" s="51"/>
    </row>
    <row r="108" spans="1:7" s="44" customFormat="1" x14ac:dyDescent="0.3">
      <c r="A108" s="50"/>
      <c r="B108" s="50"/>
      <c r="C108" s="50"/>
      <c r="D108" s="50"/>
      <c r="E108" s="109"/>
      <c r="F108" s="51"/>
      <c r="G108" s="51"/>
    </row>
    <row r="109" spans="1:7" s="44" customFormat="1" x14ac:dyDescent="0.3">
      <c r="A109" s="50"/>
      <c r="B109" s="50"/>
      <c r="C109" s="50"/>
      <c r="D109" s="50"/>
      <c r="E109" s="109"/>
      <c r="F109" s="51"/>
      <c r="G109" s="51"/>
    </row>
    <row r="110" spans="1:7" s="40" customFormat="1" ht="30" customHeight="1" x14ac:dyDescent="0.3">
      <c r="A110" s="50"/>
      <c r="B110" s="50"/>
      <c r="C110" s="50"/>
      <c r="D110" s="50"/>
      <c r="E110" s="109"/>
      <c r="F110" s="51"/>
      <c r="G110" s="51"/>
    </row>
    <row r="111" spans="1:7" s="40" customFormat="1" ht="30" customHeight="1" x14ac:dyDescent="0.3">
      <c r="A111" s="50"/>
      <c r="B111" s="50"/>
      <c r="C111" s="50"/>
      <c r="D111" s="50"/>
      <c r="E111" s="109"/>
      <c r="F111" s="51"/>
      <c r="G111" s="51"/>
    </row>
    <row r="112" spans="1:7" s="44" customFormat="1" x14ac:dyDescent="0.3">
      <c r="A112" s="50"/>
      <c r="B112" s="50"/>
      <c r="C112" s="50"/>
      <c r="D112" s="50"/>
      <c r="E112" s="109"/>
      <c r="F112" s="51"/>
      <c r="G112" s="51"/>
    </row>
    <row r="113" spans="1:7" s="44" customFormat="1" x14ac:dyDescent="0.3">
      <c r="A113" s="50"/>
      <c r="B113" s="50"/>
      <c r="C113" s="50"/>
      <c r="D113" s="50"/>
      <c r="E113" s="109"/>
      <c r="F113" s="51"/>
      <c r="G113" s="51"/>
    </row>
    <row r="114" spans="1:7" s="44" customFormat="1" x14ac:dyDescent="0.3">
      <c r="A114" s="50"/>
      <c r="B114" s="50"/>
      <c r="C114" s="50"/>
      <c r="D114" s="50"/>
      <c r="E114" s="109"/>
      <c r="F114" s="51"/>
      <c r="G114" s="51"/>
    </row>
    <row r="115" spans="1:7" s="44" customFormat="1" x14ac:dyDescent="0.3">
      <c r="A115" s="50"/>
      <c r="B115" s="50"/>
      <c r="C115" s="50"/>
      <c r="D115" s="50"/>
      <c r="E115" s="109"/>
      <c r="F115" s="51"/>
      <c r="G115" s="51"/>
    </row>
    <row r="116" spans="1:7" s="44" customFormat="1" x14ac:dyDescent="0.3">
      <c r="A116" s="50"/>
      <c r="B116" s="50"/>
      <c r="C116" s="50"/>
      <c r="D116" s="50"/>
      <c r="E116" s="109"/>
      <c r="F116" s="51"/>
      <c r="G116" s="51"/>
    </row>
    <row r="117" spans="1:7" s="44" customFormat="1" x14ac:dyDescent="0.3">
      <c r="A117" s="50"/>
      <c r="B117" s="50"/>
      <c r="C117" s="50"/>
      <c r="D117" s="50"/>
      <c r="E117" s="109"/>
      <c r="F117" s="51"/>
      <c r="G117" s="51"/>
    </row>
    <row r="118" spans="1:7" s="44" customFormat="1" x14ac:dyDescent="0.3">
      <c r="A118" s="50"/>
      <c r="B118" s="50"/>
      <c r="C118" s="50"/>
      <c r="D118" s="50"/>
      <c r="E118" s="109"/>
      <c r="F118" s="51"/>
      <c r="G118" s="51"/>
    </row>
    <row r="119" spans="1:7" s="44" customFormat="1" x14ac:dyDescent="0.3">
      <c r="A119" s="50"/>
      <c r="B119" s="50"/>
      <c r="C119" s="50"/>
      <c r="D119" s="50"/>
      <c r="E119" s="109"/>
      <c r="F119" s="51"/>
      <c r="G119" s="51"/>
    </row>
    <row r="120" spans="1:7" s="44" customFormat="1" x14ac:dyDescent="0.3">
      <c r="A120" s="50"/>
      <c r="B120" s="50"/>
      <c r="C120" s="50"/>
      <c r="D120" s="50"/>
      <c r="E120" s="109"/>
      <c r="F120" s="51"/>
      <c r="G120" s="51"/>
    </row>
    <row r="121" spans="1:7" s="44" customFormat="1" x14ac:dyDescent="0.3">
      <c r="A121" s="50"/>
      <c r="B121" s="50"/>
      <c r="C121" s="50"/>
      <c r="D121" s="50"/>
      <c r="E121" s="109"/>
      <c r="F121" s="51"/>
      <c r="G121" s="51"/>
    </row>
    <row r="122" spans="1:7" s="40" customFormat="1" ht="30" customHeight="1" x14ac:dyDescent="0.3">
      <c r="A122" s="50"/>
      <c r="B122" s="50"/>
      <c r="C122" s="50"/>
      <c r="D122" s="50"/>
      <c r="E122" s="109"/>
      <c r="F122" s="51"/>
      <c r="G122" s="51"/>
    </row>
    <row r="123" spans="1:7" s="40" customFormat="1" ht="30" customHeight="1" x14ac:dyDescent="0.3">
      <c r="A123" s="50"/>
      <c r="B123" s="50"/>
      <c r="C123" s="50"/>
      <c r="D123" s="50"/>
      <c r="E123" s="109"/>
      <c r="F123" s="51"/>
      <c r="G123" s="51"/>
    </row>
    <row r="124" spans="1:7" s="44" customFormat="1" x14ac:dyDescent="0.3">
      <c r="A124" s="50"/>
      <c r="B124" s="50"/>
      <c r="C124" s="50"/>
      <c r="D124" s="50"/>
      <c r="E124" s="109"/>
      <c r="F124" s="51"/>
      <c r="G124" s="51"/>
    </row>
    <row r="125" spans="1:7" s="44" customFormat="1" x14ac:dyDescent="0.3">
      <c r="A125" s="50"/>
      <c r="B125" s="50"/>
      <c r="C125" s="50"/>
      <c r="D125" s="50"/>
      <c r="E125" s="109"/>
      <c r="F125" s="51"/>
      <c r="G125" s="51"/>
    </row>
    <row r="126" spans="1:7" s="44" customFormat="1" x14ac:dyDescent="0.3">
      <c r="A126" s="50"/>
      <c r="B126" s="50"/>
      <c r="C126" s="50"/>
      <c r="D126" s="50"/>
      <c r="E126" s="109"/>
      <c r="F126" s="51"/>
      <c r="G126" s="51"/>
    </row>
    <row r="127" spans="1:7" s="44" customFormat="1" x14ac:dyDescent="0.3">
      <c r="A127" s="50"/>
      <c r="B127" s="50"/>
      <c r="C127" s="50"/>
      <c r="D127" s="50"/>
      <c r="E127" s="109"/>
      <c r="F127" s="51"/>
      <c r="G127" s="51"/>
    </row>
    <row r="128" spans="1:7" s="44" customFormat="1" x14ac:dyDescent="0.3">
      <c r="A128" s="50"/>
      <c r="B128" s="50"/>
      <c r="C128" s="50"/>
      <c r="D128" s="50"/>
      <c r="E128" s="109"/>
      <c r="F128" s="51"/>
      <c r="G128" s="51"/>
    </row>
    <row r="129" spans="1:7" s="44" customFormat="1" x14ac:dyDescent="0.3">
      <c r="A129" s="50"/>
      <c r="B129" s="50"/>
      <c r="C129" s="50"/>
      <c r="D129" s="50"/>
      <c r="E129" s="109"/>
      <c r="F129" s="51"/>
      <c r="G129" s="51"/>
    </row>
    <row r="130" spans="1:7" s="44" customFormat="1" x14ac:dyDescent="0.3">
      <c r="A130" s="50"/>
      <c r="B130" s="50"/>
      <c r="C130" s="50"/>
      <c r="D130" s="50"/>
      <c r="E130" s="109"/>
      <c r="F130" s="51"/>
      <c r="G130" s="51"/>
    </row>
    <row r="131" spans="1:7" s="44" customFormat="1" x14ac:dyDescent="0.3">
      <c r="A131" s="50"/>
      <c r="B131" s="50"/>
      <c r="C131" s="50"/>
      <c r="D131" s="50"/>
      <c r="E131" s="109"/>
      <c r="F131" s="51"/>
      <c r="G131" s="51"/>
    </row>
    <row r="132" spans="1:7" s="44" customFormat="1" x14ac:dyDescent="0.3">
      <c r="A132" s="50"/>
      <c r="B132" s="50"/>
      <c r="C132" s="50"/>
      <c r="D132" s="50"/>
      <c r="E132" s="109"/>
      <c r="F132" s="51"/>
      <c r="G132" s="51"/>
    </row>
    <row r="133" spans="1:7" s="44" customFormat="1" x14ac:dyDescent="0.3">
      <c r="A133" s="50"/>
      <c r="B133" s="50"/>
      <c r="C133" s="50"/>
      <c r="D133" s="50"/>
      <c r="E133" s="109"/>
      <c r="F133" s="51"/>
      <c r="G133" s="51"/>
    </row>
    <row r="134" spans="1:7" s="40" customFormat="1" ht="30" customHeight="1" x14ac:dyDescent="0.3">
      <c r="A134" s="50"/>
      <c r="B134" s="50"/>
      <c r="C134" s="50"/>
      <c r="D134" s="50"/>
      <c r="E134" s="109"/>
      <c r="F134" s="51"/>
      <c r="G134" s="51"/>
    </row>
    <row r="135" spans="1:7" s="40" customFormat="1" ht="30" customHeight="1" x14ac:dyDescent="0.3">
      <c r="A135" s="50"/>
      <c r="B135" s="50"/>
      <c r="C135" s="50"/>
      <c r="D135" s="50"/>
      <c r="E135" s="109"/>
      <c r="F135" s="51"/>
      <c r="G135" s="51"/>
    </row>
    <row r="136" spans="1:7" s="44" customFormat="1" x14ac:dyDescent="0.3">
      <c r="A136" s="50"/>
      <c r="B136" s="50"/>
      <c r="C136" s="50"/>
      <c r="D136" s="50"/>
      <c r="E136" s="109"/>
      <c r="F136" s="51"/>
      <c r="G136" s="51"/>
    </row>
    <row r="137" spans="1:7" s="44" customFormat="1" x14ac:dyDescent="0.3">
      <c r="A137" s="50"/>
      <c r="B137" s="50"/>
      <c r="C137" s="50"/>
      <c r="D137" s="50"/>
      <c r="E137" s="109"/>
      <c r="F137" s="51"/>
      <c r="G137" s="51"/>
    </row>
    <row r="138" spans="1:7" s="44" customFormat="1" x14ac:dyDescent="0.3">
      <c r="A138" s="50"/>
      <c r="B138" s="50"/>
      <c r="C138" s="50"/>
      <c r="D138" s="50"/>
      <c r="E138" s="109"/>
      <c r="F138" s="51"/>
      <c r="G138" s="51"/>
    </row>
    <row r="139" spans="1:7" s="44" customFormat="1" x14ac:dyDescent="0.3">
      <c r="A139" s="50"/>
      <c r="B139" s="50"/>
      <c r="C139" s="50"/>
      <c r="D139" s="50"/>
      <c r="E139" s="109"/>
      <c r="F139" s="51"/>
      <c r="G139" s="51"/>
    </row>
    <row r="140" spans="1:7" s="44" customFormat="1" x14ac:dyDescent="0.3">
      <c r="A140" s="50"/>
      <c r="B140" s="50"/>
      <c r="C140" s="50"/>
      <c r="D140" s="50"/>
      <c r="E140" s="109"/>
      <c r="F140" s="51"/>
      <c r="G140" s="51"/>
    </row>
    <row r="141" spans="1:7" s="44" customFormat="1" x14ac:dyDescent="0.3">
      <c r="A141" s="50"/>
      <c r="B141" s="50"/>
      <c r="C141" s="50"/>
      <c r="D141" s="50"/>
      <c r="E141" s="109"/>
      <c r="F141" s="51"/>
      <c r="G141" s="51"/>
    </row>
    <row r="142" spans="1:7" s="44" customFormat="1" x14ac:dyDescent="0.3">
      <c r="A142" s="50"/>
      <c r="B142" s="50"/>
      <c r="C142" s="50"/>
      <c r="D142" s="50"/>
      <c r="E142" s="109"/>
      <c r="F142" s="51"/>
      <c r="G142" s="51"/>
    </row>
    <row r="143" spans="1:7" s="44" customFormat="1" x14ac:dyDescent="0.3">
      <c r="A143" s="50"/>
      <c r="B143" s="50"/>
      <c r="C143" s="50"/>
      <c r="D143" s="50"/>
      <c r="E143" s="109"/>
      <c r="F143" s="51"/>
      <c r="G143" s="51"/>
    </row>
    <row r="144" spans="1:7" s="44" customFormat="1" x14ac:dyDescent="0.3">
      <c r="A144" s="50"/>
      <c r="B144" s="50"/>
      <c r="C144" s="50"/>
      <c r="D144" s="50"/>
      <c r="E144" s="109"/>
      <c r="F144" s="51"/>
      <c r="G144" s="51"/>
    </row>
    <row r="145" spans="1:7" s="44" customFormat="1" x14ac:dyDescent="0.3">
      <c r="A145" s="50"/>
      <c r="B145" s="50"/>
      <c r="C145" s="50"/>
      <c r="D145" s="50"/>
      <c r="E145" s="109"/>
      <c r="F145" s="51"/>
      <c r="G145" s="51"/>
    </row>
    <row r="146" spans="1:7" s="40" customFormat="1" ht="30" customHeight="1" x14ac:dyDescent="0.3">
      <c r="A146" s="50"/>
      <c r="B146" s="50"/>
      <c r="C146" s="50"/>
      <c r="D146" s="50"/>
      <c r="E146" s="109"/>
      <c r="F146" s="51"/>
      <c r="G146" s="51"/>
    </row>
    <row r="147" spans="1:7" s="40" customFormat="1" ht="30" customHeight="1" x14ac:dyDescent="0.3">
      <c r="A147" s="50"/>
      <c r="B147" s="50"/>
      <c r="C147" s="50"/>
      <c r="D147" s="50"/>
      <c r="E147" s="109"/>
      <c r="F147" s="51"/>
      <c r="G147" s="51"/>
    </row>
    <row r="148" spans="1:7" s="44" customFormat="1" x14ac:dyDescent="0.3">
      <c r="A148" s="50"/>
      <c r="B148" s="50"/>
      <c r="C148" s="50"/>
      <c r="D148" s="50"/>
      <c r="E148" s="109"/>
      <c r="F148" s="51"/>
      <c r="G148" s="51"/>
    </row>
    <row r="149" spans="1:7" s="44" customFormat="1" x14ac:dyDescent="0.3">
      <c r="A149" s="50"/>
      <c r="B149" s="50"/>
      <c r="C149" s="50"/>
      <c r="D149" s="50"/>
      <c r="E149" s="109"/>
      <c r="F149" s="51"/>
      <c r="G149" s="51"/>
    </row>
    <row r="150" spans="1:7" s="44" customFormat="1" x14ac:dyDescent="0.3">
      <c r="A150" s="50"/>
      <c r="B150" s="50"/>
      <c r="C150" s="50"/>
      <c r="D150" s="50"/>
      <c r="E150" s="109"/>
      <c r="F150" s="51"/>
      <c r="G150" s="51"/>
    </row>
    <row r="151" spans="1:7" s="44" customFormat="1" x14ac:dyDescent="0.3">
      <c r="A151" s="50"/>
      <c r="B151" s="50"/>
      <c r="C151" s="50"/>
      <c r="D151" s="50"/>
      <c r="E151" s="109"/>
      <c r="F151" s="51"/>
      <c r="G151" s="51"/>
    </row>
    <row r="152" spans="1:7" s="44" customFormat="1" x14ac:dyDescent="0.3">
      <c r="A152" s="50"/>
      <c r="B152" s="50"/>
      <c r="C152" s="50"/>
      <c r="D152" s="50"/>
      <c r="E152" s="109"/>
      <c r="F152" s="51"/>
      <c r="G152" s="51"/>
    </row>
    <row r="153" spans="1:7" s="44" customFormat="1" x14ac:dyDescent="0.3">
      <c r="A153" s="50"/>
      <c r="B153" s="50"/>
      <c r="C153" s="50"/>
      <c r="D153" s="50"/>
      <c r="E153" s="109"/>
      <c r="F153" s="51"/>
      <c r="G153" s="51"/>
    </row>
    <row r="154" spans="1:7" s="44" customFormat="1" x14ac:dyDescent="0.3">
      <c r="A154" s="50"/>
      <c r="B154" s="50"/>
      <c r="C154" s="50"/>
      <c r="D154" s="50"/>
      <c r="E154" s="109"/>
      <c r="F154" s="51"/>
      <c r="G154" s="51"/>
    </row>
    <row r="155" spans="1:7" s="44" customFormat="1" x14ac:dyDescent="0.3">
      <c r="A155" s="50"/>
      <c r="B155" s="50"/>
      <c r="C155" s="50"/>
      <c r="D155" s="50"/>
      <c r="E155" s="109"/>
      <c r="F155" s="51"/>
      <c r="G155" s="51"/>
    </row>
    <row r="156" spans="1:7" s="44" customFormat="1" x14ac:dyDescent="0.3">
      <c r="A156" s="50"/>
      <c r="B156" s="50"/>
      <c r="C156" s="50"/>
      <c r="D156" s="50"/>
      <c r="E156" s="109"/>
      <c r="F156" s="51"/>
      <c r="G156" s="51"/>
    </row>
    <row r="157" spans="1:7" s="44" customFormat="1" x14ac:dyDescent="0.3">
      <c r="A157" s="50"/>
      <c r="B157" s="50"/>
      <c r="C157" s="50"/>
      <c r="D157" s="50"/>
      <c r="E157" s="109"/>
      <c r="F157" s="51"/>
      <c r="G157" s="51"/>
    </row>
    <row r="158" spans="1:7" s="40" customFormat="1" ht="30" customHeight="1" x14ac:dyDescent="0.3">
      <c r="A158" s="50"/>
      <c r="B158" s="50"/>
      <c r="C158" s="50"/>
      <c r="D158" s="50"/>
      <c r="E158" s="109"/>
      <c r="F158" s="51"/>
      <c r="G158" s="51"/>
    </row>
    <row r="159" spans="1:7" s="40" customFormat="1" ht="30" customHeight="1" x14ac:dyDescent="0.3">
      <c r="A159" s="50"/>
      <c r="B159" s="50"/>
      <c r="C159" s="50"/>
      <c r="D159" s="50"/>
      <c r="E159" s="109"/>
      <c r="F159" s="51"/>
      <c r="G159" s="51"/>
    </row>
    <row r="160" spans="1:7" s="44" customFormat="1" x14ac:dyDescent="0.3">
      <c r="A160" s="50"/>
      <c r="B160" s="50"/>
      <c r="C160" s="50"/>
      <c r="D160" s="50"/>
      <c r="E160" s="109"/>
      <c r="F160" s="51"/>
      <c r="G160" s="51"/>
    </row>
    <row r="161" spans="1:7" s="44" customFormat="1" x14ac:dyDescent="0.3">
      <c r="A161" s="50"/>
      <c r="B161" s="50"/>
      <c r="C161" s="50"/>
      <c r="D161" s="50"/>
      <c r="E161" s="109"/>
      <c r="F161" s="51"/>
      <c r="G161" s="51"/>
    </row>
    <row r="162" spans="1:7" s="44" customFormat="1" x14ac:dyDescent="0.3">
      <c r="A162" s="50"/>
      <c r="B162" s="50"/>
      <c r="C162" s="50"/>
      <c r="D162" s="50"/>
      <c r="E162" s="109"/>
      <c r="F162" s="51"/>
      <c r="G162" s="51"/>
    </row>
    <row r="163" spans="1:7" s="44" customFormat="1" x14ac:dyDescent="0.3">
      <c r="A163" s="50"/>
      <c r="B163" s="50"/>
      <c r="C163" s="50"/>
      <c r="D163" s="50"/>
      <c r="E163" s="109"/>
      <c r="F163" s="51"/>
      <c r="G163" s="51"/>
    </row>
    <row r="164" spans="1:7" s="44" customFormat="1" x14ac:dyDescent="0.3">
      <c r="A164" s="50"/>
      <c r="B164" s="50"/>
      <c r="C164" s="50"/>
      <c r="D164" s="50"/>
      <c r="E164" s="109"/>
      <c r="F164" s="51"/>
      <c r="G164" s="51"/>
    </row>
    <row r="165" spans="1:7" s="44" customFormat="1" x14ac:dyDescent="0.3">
      <c r="A165" s="50"/>
      <c r="B165" s="50"/>
      <c r="C165" s="50"/>
      <c r="D165" s="50"/>
      <c r="E165" s="109"/>
      <c r="F165" s="51"/>
      <c r="G165" s="51"/>
    </row>
    <row r="166" spans="1:7" s="44" customFormat="1" x14ac:dyDescent="0.3">
      <c r="A166" s="50"/>
      <c r="B166" s="50"/>
      <c r="C166" s="50"/>
      <c r="D166" s="50"/>
      <c r="E166" s="109"/>
      <c r="F166" s="51"/>
      <c r="G166" s="51"/>
    </row>
    <row r="167" spans="1:7" s="44" customFormat="1" x14ac:dyDescent="0.3">
      <c r="A167" s="50"/>
      <c r="B167" s="50"/>
      <c r="C167" s="50"/>
      <c r="D167" s="50"/>
      <c r="E167" s="109"/>
      <c r="F167" s="51"/>
      <c r="G167" s="51"/>
    </row>
    <row r="168" spans="1:7" s="44" customFormat="1" x14ac:dyDescent="0.3">
      <c r="A168" s="50"/>
      <c r="B168" s="50"/>
      <c r="C168" s="50"/>
      <c r="D168" s="50"/>
      <c r="E168" s="109"/>
      <c r="F168" s="51"/>
      <c r="G168" s="51"/>
    </row>
    <row r="169" spans="1:7" s="44" customFormat="1" x14ac:dyDescent="0.3">
      <c r="A169" s="50"/>
      <c r="B169" s="50"/>
      <c r="C169" s="50"/>
      <c r="D169" s="50"/>
      <c r="E169" s="109"/>
      <c r="F169" s="51"/>
      <c r="G169" s="51"/>
    </row>
    <row r="170" spans="1:7" s="40" customFormat="1" ht="30" customHeight="1" x14ac:dyDescent="0.3">
      <c r="A170" s="50"/>
      <c r="B170" s="50"/>
      <c r="C170" s="50"/>
      <c r="D170" s="50"/>
      <c r="E170" s="109"/>
      <c r="F170" s="51"/>
      <c r="G170" s="51"/>
    </row>
    <row r="171" spans="1:7" s="40" customFormat="1" ht="30" customHeight="1" x14ac:dyDescent="0.3">
      <c r="A171" s="50"/>
      <c r="B171" s="50"/>
      <c r="C171" s="50"/>
      <c r="D171" s="50"/>
      <c r="E171" s="109"/>
      <c r="F171" s="51"/>
      <c r="G171" s="51"/>
    </row>
    <row r="172" spans="1:7" s="44" customFormat="1" x14ac:dyDescent="0.3">
      <c r="A172" s="50"/>
      <c r="B172" s="50"/>
      <c r="C172" s="50"/>
      <c r="D172" s="50"/>
      <c r="E172" s="109"/>
      <c r="F172" s="51"/>
      <c r="G172" s="51"/>
    </row>
    <row r="173" spans="1:7" s="44" customFormat="1" x14ac:dyDescent="0.3">
      <c r="A173" s="50"/>
      <c r="B173" s="50"/>
      <c r="C173" s="50"/>
      <c r="D173" s="50"/>
      <c r="E173" s="109"/>
      <c r="F173" s="51"/>
      <c r="G173" s="51"/>
    </row>
    <row r="174" spans="1:7" s="44" customFormat="1" x14ac:dyDescent="0.3">
      <c r="A174" s="50"/>
      <c r="B174" s="50"/>
      <c r="C174" s="50"/>
      <c r="D174" s="50"/>
      <c r="E174" s="109"/>
      <c r="F174" s="51"/>
      <c r="G174" s="51"/>
    </row>
    <row r="175" spans="1:7" s="44" customFormat="1" x14ac:dyDescent="0.3">
      <c r="A175" s="50"/>
      <c r="B175" s="50"/>
      <c r="C175" s="50"/>
      <c r="D175" s="50"/>
      <c r="E175" s="109"/>
      <c r="F175" s="51"/>
      <c r="G175" s="51"/>
    </row>
    <row r="176" spans="1:7" s="44" customFormat="1" x14ac:dyDescent="0.3">
      <c r="A176" s="50"/>
      <c r="B176" s="50"/>
      <c r="C176" s="50"/>
      <c r="D176" s="50"/>
      <c r="E176" s="109"/>
      <c r="F176" s="51"/>
      <c r="G176" s="51"/>
    </row>
    <row r="177" spans="1:7" s="44" customFormat="1" x14ac:dyDescent="0.3">
      <c r="A177" s="50"/>
      <c r="B177" s="50"/>
      <c r="C177" s="50"/>
      <c r="D177" s="50"/>
      <c r="E177" s="109"/>
      <c r="F177" s="51"/>
      <c r="G177" s="51"/>
    </row>
    <row r="178" spans="1:7" s="44" customFormat="1" x14ac:dyDescent="0.3">
      <c r="A178" s="50"/>
      <c r="B178" s="50"/>
      <c r="C178" s="50"/>
      <c r="D178" s="50"/>
      <c r="E178" s="109"/>
      <c r="F178" s="51"/>
      <c r="G178" s="51"/>
    </row>
    <row r="179" spans="1:7" s="44" customFormat="1" x14ac:dyDescent="0.3">
      <c r="A179" s="50"/>
      <c r="B179" s="50"/>
      <c r="C179" s="50"/>
      <c r="D179" s="50"/>
      <c r="E179" s="109"/>
      <c r="F179" s="51"/>
      <c r="G179" s="51"/>
    </row>
    <row r="180" spans="1:7" s="44" customFormat="1" x14ac:dyDescent="0.3">
      <c r="A180" s="50"/>
      <c r="B180" s="50"/>
      <c r="C180" s="50"/>
      <c r="D180" s="50"/>
      <c r="E180" s="109"/>
      <c r="F180" s="51"/>
      <c r="G180" s="51"/>
    </row>
  </sheetData>
  <sheetProtection formatRows="0" insertRows="0" insertHyperlinks="0" deleteRows="0" selectLockedCells="1"/>
  <mergeCells count="80"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F0EDDF1B-57BF-47BA-B925-12911C89E55F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7CDEA4A1-A61A-4E4E-9855-2D8829DDECDA}">
      <formula1>0</formula1>
      <formula2>60</formula2>
    </dataValidation>
    <dataValidation type="list" allowBlank="1" showInputMessage="1" showErrorMessage="1" sqref="A88:A95 A76:A83 A64:A71 A52:A59 A40:A47 A28:A35 A16:A23 A4:A11" xr:uid="{03B3E2EF-A78D-40DC-8695-493F00B5DBB9}">
      <formula1>ListeTaches</formula1>
    </dataValidation>
  </dataValidations>
  <hyperlinks>
    <hyperlink ref="E89" r:id="rId1" location="kw-96086" xr:uid="{34EB662E-350E-4107-AD56-1F3149C9994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3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75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75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75"/>
    </row>
    <row r="13" spans="1:61" ht="18.75" thickBot="1" x14ac:dyDescent="0.3">
      <c r="A13" s="177" t="s">
        <v>13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9"/>
      <c r="BI13" s="75"/>
    </row>
    <row r="14" spans="1:61" ht="15.75" thickBot="1" x14ac:dyDescent="0.35">
      <c r="A14" s="87"/>
      <c r="B14" s="88"/>
      <c r="C14" s="88"/>
      <c r="D14" s="88"/>
      <c r="E14" s="180" t="s">
        <v>37</v>
      </c>
      <c r="F14" s="180"/>
      <c r="G14" s="180"/>
      <c r="H14" s="180"/>
      <c r="I14" s="88"/>
      <c r="J14" s="88"/>
      <c r="K14" s="181" t="s">
        <v>25</v>
      </c>
      <c r="L14" s="181"/>
      <c r="M14" s="181"/>
      <c r="N14" s="181"/>
      <c r="O14" s="112"/>
      <c r="P14" s="112"/>
      <c r="Q14" s="180" t="s">
        <v>38</v>
      </c>
      <c r="R14" s="180"/>
      <c r="S14" s="180"/>
      <c r="T14" s="180"/>
      <c r="U14" s="88"/>
      <c r="V14" s="88"/>
      <c r="W14" s="181" t="s">
        <v>26</v>
      </c>
      <c r="X14" s="181"/>
      <c r="Y14" s="181"/>
      <c r="Z14" s="181"/>
      <c r="AA14" s="112"/>
      <c r="AB14" s="112"/>
      <c r="AC14" s="180" t="s">
        <v>39</v>
      </c>
      <c r="AD14" s="180"/>
      <c r="AE14" s="180"/>
      <c r="AF14" s="180"/>
      <c r="AG14" s="88"/>
      <c r="AH14" s="88"/>
      <c r="AI14" s="181" t="s">
        <v>27</v>
      </c>
      <c r="AJ14" s="181"/>
      <c r="AK14" s="181"/>
      <c r="AL14" s="181"/>
      <c r="AM14" s="112"/>
      <c r="AN14" s="112"/>
      <c r="AO14" s="180" t="s">
        <v>40</v>
      </c>
      <c r="AP14" s="180"/>
      <c r="AQ14" s="180"/>
      <c r="AR14" s="180"/>
      <c r="AS14" s="88"/>
      <c r="AT14" s="88"/>
      <c r="AU14" s="181" t="s">
        <v>28</v>
      </c>
      <c r="AV14" s="181"/>
      <c r="AW14" s="181"/>
      <c r="AX14" s="181"/>
      <c r="AY14" s="112"/>
      <c r="AZ14" s="112"/>
      <c r="BA14" s="180" t="s">
        <v>41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13</v>
      </c>
      <c r="B1" s="146">
        <v>1</v>
      </c>
      <c r="C1" s="146"/>
      <c r="D1" s="67" t="s">
        <v>16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43</v>
      </c>
      <c r="C2" s="134"/>
      <c r="D2" s="65" t="s">
        <v>14</v>
      </c>
      <c r="E2" s="202" t="s">
        <v>15</v>
      </c>
      <c r="F2" s="20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8"/>
      <c r="F3" s="19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0"/>
      <c r="F4" s="19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95" t="s">
        <v>30</v>
      </c>
      <c r="B11" s="69">
        <f>SUM(B3:B10)</f>
        <v>0</v>
      </c>
      <c r="C11" s="95" t="str">
        <f xml:space="preserve"> setValueToTime(B11)</f>
        <v>0h</v>
      </c>
      <c r="D11" s="104"/>
      <c r="E11" s="204"/>
      <c r="F11" s="205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13</v>
      </c>
      <c r="B1" s="147">
        <v>1</v>
      </c>
      <c r="C1" s="147"/>
      <c r="D1" s="140" t="s">
        <v>16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43</v>
      </c>
      <c r="C2" s="143"/>
      <c r="D2" s="63" t="s">
        <v>14</v>
      </c>
      <c r="E2" s="196" t="s">
        <v>15</v>
      </c>
      <c r="F2" s="19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8"/>
      <c r="F3" s="19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0"/>
      <c r="F4" s="19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145" t="s">
        <v>30</v>
      </c>
      <c r="B11" s="68">
        <f>SUM(B3:B10)</f>
        <v>0</v>
      </c>
      <c r="C11" s="145" t="str">
        <f xml:space="preserve"> setValueToTime(B11)</f>
        <v>0h</v>
      </c>
      <c r="D11" s="105"/>
      <c r="E11" s="194"/>
      <c r="F11" s="195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Ethan Aymeric Schafstall</cp:lastModifiedBy>
  <cp:lastPrinted>2019-05-08T10:31:53Z</cp:lastPrinted>
  <dcterms:created xsi:type="dcterms:W3CDTF">1996-10-21T11:03:58Z</dcterms:created>
  <dcterms:modified xsi:type="dcterms:W3CDTF">2024-09-13T11:53:25Z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